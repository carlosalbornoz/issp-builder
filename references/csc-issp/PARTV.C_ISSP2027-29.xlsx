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phil.sharepoint.com/sites/ICTO2024-BDD/Shared Documents/BDD/ISSP/ISSP 2027 - 2029/v2/"/>
    </mc:Choice>
  </mc:AlternateContent>
  <xr:revisionPtr revIDLastSave="1535" documentId="8_{392153B4-C64B-428E-A923-7D3288F11565}" xr6:coauthVersionLast="47" xr6:coauthVersionMax="47" xr10:uidLastSave="{05DFC623-E6B6-487A-8DED-ED67BD18BC99}"/>
  <bookViews>
    <workbookView xWindow="-120" yWindow="-120" windowWidth="29040" windowHeight="15720" firstSheet="1" activeTab="1" xr2:uid="{BE543751-9C5A-4124-85DD-28DC4CDD8C99}"/>
  </bookViews>
  <sheets>
    <sheet name="Reference" sheetId="1" r:id="rId1"/>
    <sheet name="Part V.C._2027-2029" sheetId="25" r:id="rId2"/>
  </sheets>
  <definedNames>
    <definedName name="_xlnm.Database">#REF!</definedName>
    <definedName name="_xlnm.Print_Area" localSheetId="1">'Part V.C._2027-2029'!$B$1:$D$138</definedName>
    <definedName name="_xlnm.Print_Titles" localSheetId="1">'Part V.C._2027-2029'!$1:$2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4" i="25" l="1"/>
  <c r="F64" i="25"/>
  <c r="D3" i="25" l="1"/>
  <c r="H127" i="25"/>
  <c r="F127" i="25"/>
  <c r="D37" i="25" l="1"/>
  <c r="H22" i="25"/>
  <c r="F22" i="25"/>
  <c r="D14" i="25"/>
  <c r="H83" i="25" l="1"/>
  <c r="H82" i="25"/>
  <c r="F83" i="25"/>
  <c r="F82" i="25"/>
  <c r="D83" i="25"/>
  <c r="D82" i="25"/>
  <c r="D32" i="25"/>
  <c r="D22" i="25" s="1"/>
  <c r="H136" i="25"/>
  <c r="F136" i="25"/>
  <c r="D136" i="25"/>
  <c r="D135" i="25"/>
  <c r="D134" i="25"/>
  <c r="D133" i="25"/>
  <c r="H131" i="25"/>
  <c r="F131" i="25"/>
  <c r="D131" i="25"/>
  <c r="F123" i="25"/>
  <c r="H123" i="25" s="1"/>
  <c r="F122" i="25"/>
  <c r="H122" i="25" s="1"/>
  <c r="F121" i="25"/>
  <c r="H121" i="25" s="1"/>
  <c r="F120" i="25"/>
  <c r="H120" i="25" s="1"/>
  <c r="F119" i="25"/>
  <c r="H119" i="25" s="1"/>
  <c r="D117" i="25"/>
  <c r="H115" i="25"/>
  <c r="F115" i="25"/>
  <c r="D115" i="25"/>
  <c r="F111" i="25"/>
  <c r="D105" i="25"/>
  <c r="D104" i="25"/>
  <c r="D103" i="25"/>
  <c r="D102" i="25"/>
  <c r="D101" i="25"/>
  <c r="D100" i="25"/>
  <c r="F99" i="25"/>
  <c r="H99" i="25" s="1"/>
  <c r="D99" i="25"/>
  <c r="H94" i="25"/>
  <c r="F93" i="25"/>
  <c r="H93" i="25" s="1"/>
  <c r="F92" i="25"/>
  <c r="H92" i="25" s="1"/>
  <c r="H89" i="25"/>
  <c r="F89" i="25"/>
  <c r="D89" i="25"/>
  <c r="D87" i="25"/>
  <c r="D86" i="25"/>
  <c r="D84" i="25"/>
  <c r="H80" i="25"/>
  <c r="F80" i="25"/>
  <c r="D80" i="25"/>
  <c r="H78" i="25"/>
  <c r="F78" i="25"/>
  <c r="D78" i="25"/>
  <c r="H75" i="25"/>
  <c r="F75" i="25"/>
  <c r="D75" i="25"/>
  <c r="H74" i="25"/>
  <c r="F74" i="25"/>
  <c r="D74" i="25"/>
  <c r="H73" i="25"/>
  <c r="F73" i="25"/>
  <c r="D73" i="25"/>
  <c r="H71" i="25"/>
  <c r="F71" i="25"/>
  <c r="D71" i="25"/>
  <c r="H62" i="25"/>
  <c r="F62" i="25"/>
  <c r="D62" i="25"/>
  <c r="F59" i="25"/>
  <c r="D59" i="25"/>
  <c r="H56" i="25"/>
  <c r="D56" i="25"/>
  <c r="H55" i="25"/>
  <c r="F55" i="25"/>
  <c r="D55" i="25"/>
  <c r="H54" i="25"/>
  <c r="H53" i="25"/>
  <c r="F52" i="25"/>
  <c r="F51" i="25"/>
  <c r="F50" i="25"/>
  <c r="F49" i="25"/>
  <c r="D48" i="25"/>
  <c r="D47" i="25"/>
  <c r="H37" i="25"/>
  <c r="F37" i="25"/>
  <c r="F21" i="25"/>
  <c r="H20" i="25"/>
  <c r="H14" i="25" s="1"/>
  <c r="F20" i="25"/>
  <c r="H88" i="25"/>
  <c r="F88" i="25"/>
  <c r="D88" i="25"/>
  <c r="D13" i="25"/>
  <c r="F12" i="25"/>
  <c r="F11" i="25"/>
  <c r="H7" i="25"/>
  <c r="H3" i="25" s="1"/>
  <c r="F43" i="25" l="1"/>
  <c r="D43" i="25"/>
  <c r="H43" i="25"/>
  <c r="D128" i="25"/>
  <c r="F3" i="25"/>
  <c r="D137" i="25"/>
  <c r="H128" i="25"/>
  <c r="F14" i="25"/>
  <c r="F128" i="25"/>
  <c r="H137" i="25" l="1"/>
  <c r="F137" i="25"/>
  <c r="C138" i="25" l="1"/>
</calcChain>
</file>

<file path=xl/sharedStrings.xml><?xml version="1.0" encoding="utf-8"?>
<sst xmlns="http://schemas.openxmlformats.org/spreadsheetml/2006/main" count="350" uniqueCount="168">
  <si>
    <t>BUDGET ITEM/ ACCOUNT</t>
  </si>
  <si>
    <t>PHYSICAL
TARGETS</t>
  </si>
  <si>
    <t>COST</t>
  </si>
  <si>
    <t>I. PROJECT NAME</t>
  </si>
  <si>
    <t xml:space="preserve">A. CAPITAL OUTLAY </t>
  </si>
  <si>
    <t>1. Machinery &amp; Equipment Outlay</t>
  </si>
  <si>
    <t>A. ICT Equipment</t>
  </si>
  <si>
    <t>B. Communication Equipment</t>
  </si>
  <si>
    <t>C. Printing Equipment</t>
  </si>
  <si>
    <t>D. ICT Software</t>
  </si>
  <si>
    <t>2. Infrastructure Outlay</t>
  </si>
  <si>
    <t>A. Communication Networks</t>
  </si>
  <si>
    <t>B. MAINTENANCE AND OTHER OPERATING EXPENSES (MOOE)</t>
  </si>
  <si>
    <t>1. ICT Training</t>
  </si>
  <si>
    <t>2. ICT Supplies</t>
  </si>
  <si>
    <t>3. Semi-Expendable Machinery and Equipment Expenses</t>
  </si>
  <si>
    <t>4. Communication Expenses</t>
  </si>
  <si>
    <t>A. Telephone - Mobile</t>
  </si>
  <si>
    <t>B. Telephone - Landline</t>
  </si>
  <si>
    <t>C. Internet Subscription Expenses</t>
  </si>
  <si>
    <t>D. Cable, Satellite, Telegraph and Radio Expenses</t>
  </si>
  <si>
    <t>5. ICT Research, Exploration &amp; Development Expenses</t>
  </si>
  <si>
    <t>6. Professional Services</t>
  </si>
  <si>
    <t>A. ICT Consultancy Services</t>
  </si>
  <si>
    <t>7. Other General Services - ICT Services</t>
  </si>
  <si>
    <t>8. Repairs &amp; Maintenance - Infra Assets</t>
  </si>
  <si>
    <t>9. Repairs &amp; Maintenance - Machinery and Equipment</t>
  </si>
  <si>
    <t>10. Repairs and Maintenance - Leased Assets</t>
  </si>
  <si>
    <t>A. ICT Machinery and Equipment</t>
  </si>
  <si>
    <t xml:space="preserve">11. Repairs and Maintenance - Semi-Expendable Machinery and Equipment </t>
  </si>
  <si>
    <t>12. Rents - ICT Machinery and Equipment</t>
  </si>
  <si>
    <t>13. Subscription Expenses</t>
  </si>
  <si>
    <t>A. ICT Software Subscription</t>
  </si>
  <si>
    <t>B. Data Center Services</t>
  </si>
  <si>
    <t>C. Cloud Computing Service</t>
  </si>
  <si>
    <t>14. Other MOOE</t>
  </si>
  <si>
    <t>A. Website Maintenance</t>
  </si>
  <si>
    <t>B. Other MOOE</t>
  </si>
  <si>
    <t>I. OFFICE PRODUCTIVITY</t>
  </si>
  <si>
    <t>a. ICT Equipment</t>
  </si>
  <si>
    <t>• Supply, Delivery, and Installation of Computers</t>
  </si>
  <si>
    <t>1 lot</t>
  </si>
  <si>
    <t>1. Semi-Expendable Machinery and Equipment Expenses</t>
  </si>
  <si>
    <t>a. Print Services</t>
  </si>
  <si>
    <t>i. Central Office</t>
  </si>
  <si>
    <t>ii. Regional Offices</t>
  </si>
  <si>
    <t>2. ICT Training</t>
  </si>
  <si>
    <t>4</t>
  </si>
  <si>
    <t>II. EMERGING TECHNOLOGIES</t>
  </si>
  <si>
    <t>i. Emerging Technology and Internet of Things</t>
  </si>
  <si>
    <t>2.  Professional Services</t>
  </si>
  <si>
    <t>a. AI, IoT and Robotics Experts</t>
  </si>
  <si>
    <t>3</t>
  </si>
  <si>
    <t>3. ICT Training</t>
  </si>
  <si>
    <t>10</t>
  </si>
  <si>
    <t>III. NEXT-GEN SECURITY OPERATIONS CENTER (SOC)</t>
  </si>
  <si>
    <t>1. Subscription Expenses</t>
  </si>
  <si>
    <t>a. SIEM Software</t>
  </si>
  <si>
    <t>b. SOAR Software</t>
  </si>
  <si>
    <t>c.  NDR Solution</t>
  </si>
  <si>
    <t>d. Threat Intelligence Subscription</t>
  </si>
  <si>
    <t>e. 24/7 Managed SOC Services</t>
  </si>
  <si>
    <t>f. Network Access Control</t>
  </si>
  <si>
    <t>g. Privileged Access Management (PAM)</t>
  </si>
  <si>
    <t>h. IP Address Management</t>
  </si>
  <si>
    <t>i. IT Operations and Management</t>
  </si>
  <si>
    <t>• Patch Management Service</t>
  </si>
  <si>
    <t>• Enterprise Device Management</t>
  </si>
  <si>
    <t>• Data Erasure Software for Enterprise</t>
  </si>
  <si>
    <t>IV. SMART DIGITAL WORKPLACE (PHASE 2)</t>
  </si>
  <si>
    <t>V. CONTINUING EXPENSES</t>
  </si>
  <si>
    <t>1. ICT Trainings</t>
  </si>
  <si>
    <t>a. ICT Summit</t>
  </si>
  <si>
    <t>b. Network+ Certification</t>
  </si>
  <si>
    <t>8</t>
  </si>
  <si>
    <t>c. Security+ Certification</t>
  </si>
  <si>
    <t>d. Server+ Certification</t>
  </si>
  <si>
    <t>e. Linux+ Certification</t>
  </si>
  <si>
    <t>f. Pentest+ Certification</t>
  </si>
  <si>
    <t>g. CYSA+ Certification</t>
  </si>
  <si>
    <t>h. Cloud+ Certification</t>
  </si>
  <si>
    <t>i.CASP+/SecurityX Certification</t>
  </si>
  <si>
    <t>j. Project Management Certification</t>
  </si>
  <si>
    <t>k. Data and Analytics Certification</t>
  </si>
  <si>
    <t>5</t>
  </si>
  <si>
    <t>a. Network and Maintenance Equipment and Supplies (UTP Cables, RJ45 etc)</t>
  </si>
  <si>
    <t>b. Consumables for Printers and Scanners</t>
  </si>
  <si>
    <t>3. Communication Expenses</t>
  </si>
  <si>
    <t>a. Telephone - Mobile</t>
  </si>
  <si>
    <t>i. Support Phones for ICTO Personnel (inc. Call, SMS &amp; Data Plan)</t>
  </si>
  <si>
    <t>6</t>
  </si>
  <si>
    <t>b. Telephone - Landline</t>
  </si>
  <si>
    <t>i. SIP Trunkline</t>
  </si>
  <si>
    <t>c. Internet Subscription Expenses</t>
  </si>
  <si>
    <t>i. Primary Internet Subscription for Central Office</t>
  </si>
  <si>
    <t>ii. Secondary Internet Subscription for All CSC Offices</t>
  </si>
  <si>
    <t>・ Central Office</t>
  </si>
  <si>
    <t>Secondary ISP Subscription</t>
  </si>
  <si>
    <t>・ Regional Office</t>
  </si>
  <si>
    <t>Augmentation / Secondary ISP Subscription</t>
  </si>
  <si>
    <t>16</t>
  </si>
  <si>
    <t>・ Field Office</t>
  </si>
  <si>
    <t>35</t>
  </si>
  <si>
    <t>iii. Private WAN Circuit (MPLS) Subscription - Central Office</t>
  </si>
  <si>
    <t>1</t>
  </si>
  <si>
    <t>iv. Private WAN Circuit (MPLS) Subscription - Regional Office</t>
  </si>
  <si>
    <t>v. Tertiary Internet Subscription (Satellite) for CSC Offices</t>
  </si>
  <si>
    <t>• Regional Office</t>
  </si>
  <si>
    <t>・Satellite Internet Constellation</t>
  </si>
  <si>
    <t>• Field Office</t>
  </si>
  <si>
    <t>28</t>
  </si>
  <si>
    <t>4. Professional Services</t>
  </si>
  <si>
    <t>a. Computer Technician (Regional Offices)</t>
  </si>
  <si>
    <t>b. Computer Technician (Central Office)</t>
  </si>
  <si>
    <t>9</t>
  </si>
  <si>
    <t>c. Programmer</t>
  </si>
  <si>
    <t>d. System Developer Specialist</t>
  </si>
  <si>
    <t>e. Information Systems Researcher III</t>
  </si>
  <si>
    <t>f. Information Technology Officer I</t>
  </si>
  <si>
    <t>g.Information Systems Analyst I</t>
  </si>
  <si>
    <t>h. Information Systems Analyst II</t>
  </si>
  <si>
    <t>5. Repairs &amp; Maintenance - Machinery and Equipment</t>
  </si>
  <si>
    <t>ii. CSC RO VII - Disaster Recovery (DR) Site</t>
  </si>
  <si>
    <t>iii. Regional Offices</t>
  </si>
  <si>
    <t>6. Rents - ICT Machinery and Equipment</t>
  </si>
  <si>
    <t>a. Printing Services for Central Office</t>
  </si>
  <si>
    <t>7. Subscription Expenses</t>
  </si>
  <si>
    <t>a. ICT Software Subscription</t>
  </si>
  <si>
    <t>i. Standard Enterprise Suite</t>
  </si>
  <si>
    <t>ii. General Document Productivity Suite</t>
  </si>
  <si>
    <t>iii. General Multimedia Productivity Tools</t>
  </si>
  <si>
    <t>iv. Specialist Productivity Tools - Photo and Audiovisual</t>
  </si>
  <si>
    <t>v. Specialist Productivity Tools - 3D Modeling and Infrastructure</t>
  </si>
  <si>
    <t>vi. Specialist Productivity Tools - Online/Live Engagement Platform</t>
  </si>
  <si>
    <t>vii. Specialist Productivity Tools - URL Shortening Suite</t>
  </si>
  <si>
    <t>viii. Vulnerability Assessment and Penetration (VAPT) Tool</t>
  </si>
  <si>
    <t>ix. Next Generation Firewall (Central Office)</t>
  </si>
  <si>
    <t>• Central Office</t>
  </si>
  <si>
    <t>x. Web Application Firewalls</t>
  </si>
  <si>
    <t>xi. Endpoint Security</t>
  </si>
  <si>
    <t>xii. Cloud Storage</t>
  </si>
  <si>
    <t>xiii. Cloud Computing Services</t>
  </si>
  <si>
    <t>xiv. Online Exam System Software Subscription</t>
  </si>
  <si>
    <t>xv. Software Development Tools/License</t>
  </si>
  <si>
    <t>xvi. PDF Compression Tool</t>
  </si>
  <si>
    <t>xvii. Digital HR Concern Helpdesk</t>
  </si>
  <si>
    <t>xviii. Centralized Logging and Analytics Appliance</t>
  </si>
  <si>
    <t>xix. SIEM Software</t>
  </si>
  <si>
    <t>xx. SOAR Software</t>
  </si>
  <si>
    <t>xxi.  NDR Solution</t>
  </si>
  <si>
    <t>xxii. Threat Intelligence Subscription</t>
  </si>
  <si>
    <t>xxiii. 24/7 Managed SOC Services</t>
  </si>
  <si>
    <t>xxiv. Privileged Access Management (PAM)</t>
  </si>
  <si>
    <t>xxv. Ticketing Service (Cloud/On-prem)</t>
  </si>
  <si>
    <t>xxvi. Data Erasure Software for Enterprise</t>
  </si>
  <si>
    <t>xxvii. Statistical Software</t>
  </si>
  <si>
    <t xml:space="preserve"> VI. DIGITAL TRANSFORMATION INFORMATION SYSTEM (IS) (see Part V.B.)</t>
  </si>
  <si>
    <t>1. ICT Supplies</t>
  </si>
  <si>
    <t>a. Support to Operations</t>
  </si>
  <si>
    <t>2. Professional Services</t>
  </si>
  <si>
    <t>a. HRIGA Secretariat</t>
  </si>
  <si>
    <t>b. Information Systems Analyst I</t>
  </si>
  <si>
    <t>2</t>
  </si>
  <si>
    <t>c. Information Systems Analyst II</t>
  </si>
  <si>
    <t>d. ICT Staff</t>
  </si>
  <si>
    <t>12</t>
  </si>
  <si>
    <t>TOTAL COST PER YEAR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</si>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</sst>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b/>
      <sz val="11"/>
      <color rgb="FF000000"/>
      <name val="Palatino Linotype"/>
      <family val="1"/>
    </font>
    <font>
      <sz val="11"/>
      <color rgb="FF000000"/>
      <name val="Palatino Linotype"/>
      <family val="1"/>
    </font>
    <font>
      <sz val="11"/>
      <color theme="1"/>
      <name val="Palatino Linotype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100">
    <xf numFmtId="0" fontId="0" fillId="0" borderId="0" xfId="0"/>
    <xf numFmtId="49" fontId="2" fillId="0" borderId="6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5" xfId="0" applyFont="1" applyFill="1" applyBorder="1"/>
    <xf numFmtId="49" fontId="2" fillId="2" borderId="12" xfId="0" applyNumberFormat="1" applyFont="1" applyFill="1" applyBorder="1" applyAlignment="1">
      <alignment horizontal="center"/>
    </xf>
    <xf numFmtId="43" fontId="2" fillId="2" borderId="7" xfId="0" applyNumberFormat="1" applyFont="1" applyFill="1" applyBorder="1"/>
    <xf numFmtId="0" fontId="2" fillId="2" borderId="12" xfId="0" applyFont="1" applyFill="1" applyBorder="1" applyAlignment="1">
      <alignment horizontal="center" vertical="top"/>
    </xf>
    <xf numFmtId="0" fontId="2" fillId="2" borderId="12" xfId="0" applyFont="1" applyFill="1" applyBorder="1"/>
    <xf numFmtId="43" fontId="2" fillId="2" borderId="11" xfId="0" applyNumberFormat="1" applyFont="1" applyFill="1" applyBorder="1"/>
    <xf numFmtId="0" fontId="3" fillId="0" borderId="0" xfId="0" applyFont="1"/>
    <xf numFmtId="0" fontId="2" fillId="0" borderId="13" xfId="0" applyFont="1" applyBorder="1" applyAlignment="1">
      <alignment horizontal="left" indent="1"/>
    </xf>
    <xf numFmtId="0" fontId="3" fillId="0" borderId="13" xfId="0" applyFont="1" applyBorder="1" applyAlignment="1">
      <alignment horizontal="left" vertical="center" wrapText="1" indent="2"/>
    </xf>
    <xf numFmtId="49" fontId="3" fillId="0" borderId="14" xfId="1" applyNumberFormat="1" applyFont="1" applyBorder="1" applyAlignment="1">
      <alignment horizontal="center"/>
    </xf>
    <xf numFmtId="43" fontId="3" fillId="0" borderId="15" xfId="1" applyFont="1" applyBorder="1"/>
    <xf numFmtId="49" fontId="3" fillId="0" borderId="14" xfId="1" applyNumberFormat="1" applyFont="1" applyFill="1" applyBorder="1" applyAlignment="1">
      <alignment horizontal="center"/>
    </xf>
    <xf numFmtId="164" fontId="4" fillId="0" borderId="0" xfId="1" applyNumberFormat="1" applyFont="1" applyAlignment="1">
      <alignment horizontal="right"/>
    </xf>
    <xf numFmtId="43" fontId="3" fillId="0" borderId="0" xfId="1" applyFont="1"/>
    <xf numFmtId="0" fontId="3" fillId="0" borderId="13" xfId="0" applyFont="1" applyBorder="1" applyAlignment="1">
      <alignment horizontal="left" vertical="center" wrapText="1" indent="3"/>
    </xf>
    <xf numFmtId="43" fontId="7" fillId="0" borderId="0" xfId="1" applyFont="1" applyFill="1"/>
    <xf numFmtId="0" fontId="7" fillId="0" borderId="0" xfId="0" applyFont="1"/>
    <xf numFmtId="0" fontId="6" fillId="0" borderId="23" xfId="0" applyFont="1" applyBorder="1" applyAlignment="1">
      <alignment horizontal="center" vertical="top" wrapText="1"/>
    </xf>
    <xf numFmtId="0" fontId="6" fillId="3" borderId="12" xfId="0" applyFont="1" applyFill="1" applyBorder="1" applyAlignment="1">
      <alignment horizontal="center" vertical="top"/>
    </xf>
    <xf numFmtId="0" fontId="6" fillId="3" borderId="20" xfId="0" applyFont="1" applyFill="1" applyBorder="1" applyAlignment="1">
      <alignment horizontal="center" vertical="top"/>
    </xf>
    <xf numFmtId="0" fontId="6" fillId="0" borderId="32" xfId="0" applyFont="1" applyBorder="1" applyAlignment="1">
      <alignment horizontal="center" vertical="top" wrapText="1"/>
    </xf>
    <xf numFmtId="43" fontId="6" fillId="3" borderId="30" xfId="0" applyNumberFormat="1" applyFont="1" applyFill="1" applyBorder="1" applyAlignment="1">
      <alignment horizontal="right" vertical="top"/>
    </xf>
    <xf numFmtId="43" fontId="7" fillId="0" borderId="31" xfId="1" applyFont="1" applyFill="1" applyBorder="1" applyAlignment="1">
      <alignment horizontal="right" vertical="top"/>
    </xf>
    <xf numFmtId="0" fontId="7" fillId="0" borderId="0" xfId="0" applyFont="1" applyAlignment="1">
      <alignment horizontal="right" vertical="top"/>
    </xf>
    <xf numFmtId="43" fontId="6" fillId="3" borderId="11" xfId="0" applyNumberFormat="1" applyFont="1" applyFill="1" applyBorder="1" applyAlignment="1">
      <alignment horizontal="right" vertical="top"/>
    </xf>
    <xf numFmtId="43" fontId="7" fillId="0" borderId="16" xfId="1" applyFont="1" applyFill="1" applyBorder="1" applyAlignment="1">
      <alignment horizontal="right" vertical="top"/>
    </xf>
    <xf numFmtId="49" fontId="7" fillId="0" borderId="14" xfId="1" applyNumberFormat="1" applyFont="1" applyFill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49" fontId="6" fillId="3" borderId="12" xfId="0" applyNumberFormat="1" applyFont="1" applyFill="1" applyBorder="1" applyAlignment="1">
      <alignment horizontal="center" vertical="top"/>
    </xf>
    <xf numFmtId="0" fontId="7" fillId="0" borderId="0" xfId="0" applyFont="1" applyAlignment="1">
      <alignment horizontal="left" indent="3"/>
    </xf>
    <xf numFmtId="0" fontId="7" fillId="0" borderId="0" xfId="0" applyFont="1" applyAlignment="1">
      <alignment horizontal="left" vertical="top" indent="3"/>
    </xf>
    <xf numFmtId="43" fontId="6" fillId="3" borderId="9" xfId="0" applyNumberFormat="1" applyFont="1" applyFill="1" applyBorder="1" applyAlignment="1">
      <alignment horizontal="right" vertical="top"/>
    </xf>
    <xf numFmtId="0" fontId="7" fillId="0" borderId="14" xfId="0" applyFont="1" applyBorder="1" applyAlignment="1">
      <alignment horizontal="center" vertical="top"/>
    </xf>
    <xf numFmtId="43" fontId="7" fillId="0" borderId="31" xfId="0" applyNumberFormat="1" applyFont="1" applyBorder="1" applyAlignment="1">
      <alignment horizontal="right" vertical="top"/>
    </xf>
    <xf numFmtId="0" fontId="7" fillId="0" borderId="16" xfId="0" applyFont="1" applyBorder="1" applyAlignment="1">
      <alignment horizontal="right" vertical="top"/>
    </xf>
    <xf numFmtId="43" fontId="6" fillId="3" borderId="19" xfId="0" applyNumberFormat="1" applyFont="1" applyFill="1" applyBorder="1" applyAlignment="1">
      <alignment horizontal="right" vertical="top"/>
    </xf>
    <xf numFmtId="0" fontId="9" fillId="0" borderId="14" xfId="0" applyFont="1" applyBorder="1" applyAlignment="1">
      <alignment horizontal="center" vertical="center"/>
    </xf>
    <xf numFmtId="43" fontId="8" fillId="0" borderId="31" xfId="1" applyFont="1" applyFill="1" applyBorder="1" applyAlignment="1">
      <alignment horizontal="right" vertical="top"/>
    </xf>
    <xf numFmtId="43" fontId="7" fillId="0" borderId="16" xfId="1" applyFont="1" applyFill="1" applyBorder="1" applyAlignment="1">
      <alignment horizontal="right" vertical="center"/>
    </xf>
    <xf numFmtId="49" fontId="7" fillId="0" borderId="14" xfId="1" applyNumberFormat="1" applyFont="1" applyFill="1" applyBorder="1" applyAlignment="1">
      <alignment horizontal="center" vertical="center"/>
    </xf>
    <xf numFmtId="43" fontId="7" fillId="0" borderId="31" xfId="1" applyFont="1" applyFill="1" applyBorder="1" applyAlignment="1">
      <alignment horizontal="right" vertical="center"/>
    </xf>
    <xf numFmtId="49" fontId="8" fillId="0" borderId="14" xfId="1" applyNumberFormat="1" applyFont="1" applyFill="1" applyBorder="1" applyAlignment="1">
      <alignment horizontal="center" vertical="top"/>
    </xf>
    <xf numFmtId="43" fontId="8" fillId="0" borderId="16" xfId="1" applyFont="1" applyFill="1" applyBorder="1" applyAlignment="1">
      <alignment horizontal="right" vertical="top"/>
    </xf>
    <xf numFmtId="49" fontId="6" fillId="3" borderId="6" xfId="0" applyNumberFormat="1" applyFont="1" applyFill="1" applyBorder="1" applyAlignment="1">
      <alignment horizontal="center" vertical="top"/>
    </xf>
    <xf numFmtId="43" fontId="6" fillId="3" borderId="29" xfId="0" applyNumberFormat="1" applyFont="1" applyFill="1" applyBorder="1" applyAlignment="1">
      <alignment horizontal="right" vertical="top"/>
    </xf>
    <xf numFmtId="0" fontId="7" fillId="0" borderId="1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top" wrapText="1"/>
    </xf>
    <xf numFmtId="43" fontId="7" fillId="0" borderId="16" xfId="1" applyFont="1" applyFill="1" applyBorder="1" applyAlignment="1">
      <alignment horizontal="center" vertical="center"/>
    </xf>
    <xf numFmtId="43" fontId="7" fillId="0" borderId="16" xfId="0" applyNumberFormat="1" applyFont="1" applyBorder="1" applyAlignment="1">
      <alignment horizontal="right" vertical="top"/>
    </xf>
    <xf numFmtId="43" fontId="7" fillId="0" borderId="0" xfId="1" applyFont="1"/>
    <xf numFmtId="43" fontId="7" fillId="0" borderId="16" xfId="0" applyNumberFormat="1" applyFont="1" applyBorder="1" applyAlignment="1">
      <alignment horizontal="right" vertical="center"/>
    </xf>
    <xf numFmtId="0" fontId="6" fillId="0" borderId="24" xfId="0" applyFont="1" applyBorder="1" applyAlignment="1">
      <alignment horizontal="center" vertical="top"/>
    </xf>
    <xf numFmtId="0" fontId="7" fillId="0" borderId="13" xfId="0" applyFont="1" applyBorder="1" applyAlignment="1">
      <alignment horizontal="left" vertical="center" wrapText="1" indent="4"/>
    </xf>
    <xf numFmtId="0" fontId="6" fillId="0" borderId="2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indent="1"/>
    </xf>
    <xf numFmtId="0" fontId="7" fillId="0" borderId="13" xfId="0" applyFont="1" applyBorder="1" applyAlignment="1">
      <alignment horizontal="left" vertical="center" wrapText="1" indent="2"/>
    </xf>
    <xf numFmtId="0" fontId="7" fillId="0" borderId="13" xfId="0" applyFont="1" applyBorder="1" applyAlignment="1">
      <alignment horizontal="left" vertical="center" wrapText="1" indent="3"/>
    </xf>
    <xf numFmtId="0" fontId="6" fillId="0" borderId="13" xfId="0" applyFont="1" applyBorder="1" applyAlignment="1">
      <alignment horizontal="left" wrapText="1" indent="1"/>
    </xf>
    <xf numFmtId="0" fontId="7" fillId="0" borderId="13" xfId="0" applyFont="1" applyBorder="1" applyAlignment="1">
      <alignment horizontal="left" vertical="center" wrapText="1" indent="5"/>
    </xf>
    <xf numFmtId="0" fontId="7" fillId="0" borderId="13" xfId="0" applyFont="1" applyBorder="1" applyAlignment="1">
      <alignment horizontal="left" vertical="top" wrapText="1" indent="4"/>
    </xf>
    <xf numFmtId="0" fontId="8" fillId="0" borderId="13" xfId="0" applyFont="1" applyBorder="1" applyAlignment="1">
      <alignment horizontal="left" vertical="center" wrapText="1" indent="2"/>
    </xf>
    <xf numFmtId="0" fontId="8" fillId="0" borderId="13" xfId="0" applyFont="1" applyBorder="1" applyAlignment="1">
      <alignment horizontal="left" vertical="center" wrapText="1" indent="3"/>
    </xf>
    <xf numFmtId="0" fontId="7" fillId="0" borderId="13" xfId="0" applyFont="1" applyBorder="1" applyAlignment="1">
      <alignment horizontal="left" indent="2"/>
    </xf>
    <xf numFmtId="0" fontId="7" fillId="0" borderId="13" xfId="0" applyFont="1" applyBorder="1" applyAlignment="1">
      <alignment horizontal="left" vertical="center" wrapText="1" indent="7"/>
    </xf>
    <xf numFmtId="0" fontId="7" fillId="0" borderId="13" xfId="0" applyFont="1" applyBorder="1" applyAlignment="1">
      <alignment horizontal="left" indent="4"/>
    </xf>
    <xf numFmtId="0" fontId="7" fillId="0" borderId="13" xfId="0" applyFont="1" applyBorder="1" applyAlignment="1">
      <alignment horizontal="left" wrapText="1" indent="2"/>
    </xf>
    <xf numFmtId="0" fontId="7" fillId="0" borderId="13" xfId="0" applyFont="1" applyBorder="1" applyAlignment="1">
      <alignment horizontal="left" wrapText="1" indent="3"/>
    </xf>
    <xf numFmtId="0" fontId="7" fillId="0" borderId="13" xfId="0" applyFont="1" applyBorder="1" applyAlignment="1">
      <alignment horizontal="left" indent="3"/>
    </xf>
    <xf numFmtId="43" fontId="7" fillId="0" borderId="34" xfId="1" applyFont="1" applyFill="1" applyBorder="1" applyAlignment="1">
      <alignment horizontal="right" vertical="top"/>
    </xf>
    <xf numFmtId="43" fontId="7" fillId="0" borderId="31" xfId="1" applyFont="1" applyFill="1" applyBorder="1" applyAlignment="1">
      <alignment horizontal="center" vertical="center"/>
    </xf>
    <xf numFmtId="43" fontId="7" fillId="0" borderId="31" xfId="0" applyNumberFormat="1" applyFont="1" applyBorder="1" applyAlignment="1">
      <alignment horizontal="right" vertical="center"/>
    </xf>
    <xf numFmtId="43" fontId="6" fillId="3" borderId="33" xfId="0" applyNumberFormat="1" applyFont="1" applyFill="1" applyBorder="1" applyAlignment="1">
      <alignment horizontal="right" vertical="top"/>
    </xf>
    <xf numFmtId="49" fontId="6" fillId="0" borderId="2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left" vertical="center" wrapText="1" indent="1"/>
    </xf>
    <xf numFmtId="0" fontId="6" fillId="3" borderId="27" xfId="0" applyFont="1" applyFill="1" applyBorder="1" applyAlignment="1">
      <alignment horizontal="left" vertical="center" wrapText="1"/>
    </xf>
    <xf numFmtId="0" fontId="6" fillId="3" borderId="35" xfId="0" applyFont="1" applyFill="1" applyBorder="1" applyAlignment="1">
      <alignment horizontal="right"/>
    </xf>
    <xf numFmtId="0" fontId="6" fillId="3" borderId="26" xfId="0" applyFont="1" applyFill="1" applyBorder="1" applyAlignment="1">
      <alignment horizontal="right"/>
    </xf>
    <xf numFmtId="0" fontId="7" fillId="0" borderId="27" xfId="0" applyFont="1" applyBorder="1" applyAlignment="1">
      <alignment horizontal="left" vertical="center" wrapText="1" indent="4"/>
    </xf>
    <xf numFmtId="49" fontId="7" fillId="0" borderId="6" xfId="1" applyNumberFormat="1" applyFont="1" applyFill="1" applyBorder="1" applyAlignment="1">
      <alignment horizontal="center" vertical="top"/>
    </xf>
    <xf numFmtId="43" fontId="7" fillId="0" borderId="29" xfId="1" applyFont="1" applyFill="1" applyBorder="1" applyAlignment="1">
      <alignment horizontal="right" vertical="top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6" fillId="0" borderId="21" xfId="0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0" fontId="6" fillId="0" borderId="25" xfId="0" applyFont="1" applyBorder="1" applyAlignment="1">
      <alignment horizontal="center" vertical="top"/>
    </xf>
    <xf numFmtId="43" fontId="6" fillId="3" borderId="26" xfId="0" applyNumberFormat="1" applyFont="1" applyFill="1" applyBorder="1" applyAlignment="1">
      <alignment horizontal="center" vertical="top" wrapText="1"/>
    </xf>
    <xf numFmtId="43" fontId="6" fillId="3" borderId="17" xfId="0" applyNumberFormat="1" applyFont="1" applyFill="1" applyBorder="1" applyAlignment="1">
      <alignment horizontal="center" vertical="top" wrapText="1"/>
    </xf>
    <xf numFmtId="43" fontId="6" fillId="3" borderId="18" xfId="0" applyNumberFormat="1" applyFont="1" applyFill="1" applyBorder="1" applyAlignment="1">
      <alignment horizontal="center" vertical="top" wrapText="1"/>
    </xf>
  </cellXfs>
  <cellStyles count="4">
    <cellStyle name="Comma" xfId="1" builtinId="3"/>
    <cellStyle name="Comma 3 2" xfId="3" xr:uid="{466D8C25-29DD-401B-AC90-3FA3063FFEC8}"/>
    <cellStyle name="Normal" xfId="0" builtinId="0"/>
    <cellStyle name="Normal 2" xfId="2" xr:uid="{CD87699B-AC62-4716-9E4B-E75A5DA9823F}"/>
  </cellStyles>
  <dxfs count="0"/>
  <tableStyles count="0" defaultTableStyle="TableStyleMedium2" defaultPivotStyle="PivotStyleLight16"/>
  <colors>
    <mruColors>
      <color rgb="FFFFFFFF"/>
      <color rgb="FFFC9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170E-0121-4E7E-9BCC-893A950BF044}">
  <dimension ref="A1:Q102"/>
  <sheetViews>
    <sheetView topLeftCell="A26" zoomScale="145" zoomScaleNormal="145" workbookViewId="0">
      <selection activeCell="A47" sqref="A47:XFD47"/>
    </sheetView>
  </sheetViews>
  <sheetFormatPr defaultColWidth="9.140625" defaultRowHeight="11.25"/>
  <cols>
    <col min="1" max="1" width="50.42578125" style="13" bestFit="1" customWidth="1"/>
    <col min="2" max="2" width="8.5703125" style="13" bestFit="1" customWidth="1"/>
    <col min="3" max="3" width="5.42578125" style="13" bestFit="1" customWidth="1"/>
    <col min="4" max="4" width="8.5703125" style="13" bestFit="1" customWidth="1"/>
    <col min="5" max="5" width="5.42578125" style="13" bestFit="1" customWidth="1"/>
    <col min="6" max="6" width="8.5703125" style="13" bestFit="1" customWidth="1"/>
    <col min="7" max="7" width="5.42578125" style="13" bestFit="1" customWidth="1"/>
    <col min="8" max="16384" width="9.140625" style="13"/>
  </cols>
  <sheetData>
    <row r="1" spans="1:17">
      <c r="A1" s="91" t="s">
        <v>0</v>
      </c>
      <c r="B1" s="89">
        <v>2021</v>
      </c>
      <c r="C1" s="93"/>
      <c r="D1" s="89">
        <v>2022</v>
      </c>
      <c r="E1" s="93"/>
      <c r="F1" s="89">
        <v>2023</v>
      </c>
      <c r="G1" s="90"/>
      <c r="H1" s="19"/>
      <c r="I1" s="19"/>
      <c r="J1" s="19"/>
      <c r="K1" s="20"/>
      <c r="L1" s="20"/>
      <c r="M1" s="20"/>
    </row>
    <row r="2" spans="1:17" ht="33.75">
      <c r="A2" s="92"/>
      <c r="B2" s="1" t="s">
        <v>1</v>
      </c>
      <c r="C2" s="2" t="s">
        <v>2</v>
      </c>
      <c r="D2" s="3" t="s">
        <v>1</v>
      </c>
      <c r="E2" s="4" t="s">
        <v>2</v>
      </c>
      <c r="F2" s="5" t="s">
        <v>1</v>
      </c>
      <c r="G2" s="6" t="s">
        <v>2</v>
      </c>
      <c r="H2" s="19"/>
      <c r="I2" s="19"/>
      <c r="J2" s="19"/>
      <c r="K2" s="20"/>
      <c r="L2" s="20"/>
      <c r="M2" s="20"/>
    </row>
    <row r="3" spans="1:17">
      <c r="A3" s="7" t="s">
        <v>3</v>
      </c>
      <c r="B3" s="8"/>
      <c r="C3" s="9"/>
      <c r="D3" s="10"/>
      <c r="E3" s="9"/>
      <c r="F3" s="11"/>
      <c r="G3" s="12"/>
      <c r="H3" s="19"/>
      <c r="I3" s="19"/>
      <c r="J3" s="19"/>
      <c r="K3" s="20"/>
      <c r="L3" s="20"/>
      <c r="M3" s="20"/>
    </row>
    <row r="4" spans="1:17">
      <c r="A4" s="14" t="s">
        <v>4</v>
      </c>
      <c r="B4" s="16"/>
      <c r="C4" s="17"/>
      <c r="D4" s="16"/>
      <c r="E4" s="17"/>
      <c r="F4" s="16"/>
      <c r="G4" s="17"/>
    </row>
    <row r="5" spans="1:17">
      <c r="A5" s="15" t="s">
        <v>5</v>
      </c>
      <c r="B5" s="16"/>
      <c r="C5" s="17"/>
      <c r="D5" s="16"/>
      <c r="E5" s="17"/>
      <c r="F5" s="16"/>
      <c r="G5" s="17"/>
    </row>
    <row r="6" spans="1:17">
      <c r="A6" s="21" t="s">
        <v>6</v>
      </c>
      <c r="B6" s="16"/>
      <c r="C6" s="17"/>
      <c r="D6" s="16"/>
      <c r="E6" s="17"/>
      <c r="F6" s="16"/>
      <c r="G6" s="17"/>
    </row>
    <row r="7" spans="1:17">
      <c r="A7" s="21" t="s">
        <v>7</v>
      </c>
      <c r="B7" s="16"/>
      <c r="C7" s="17"/>
      <c r="D7" s="16"/>
      <c r="E7" s="17"/>
      <c r="F7" s="16"/>
      <c r="G7" s="17"/>
    </row>
    <row r="8" spans="1:17" ht="15" customHeight="1">
      <c r="A8" s="21" t="s">
        <v>8</v>
      </c>
      <c r="B8" s="16"/>
      <c r="C8" s="17"/>
      <c r="D8" s="16"/>
      <c r="E8" s="17"/>
      <c r="F8" s="16"/>
      <c r="G8" s="17"/>
    </row>
    <row r="9" spans="1:17">
      <c r="A9" s="21" t="s">
        <v>9</v>
      </c>
      <c r="B9" s="16"/>
      <c r="C9" s="17"/>
      <c r="D9" s="16"/>
      <c r="E9" s="17"/>
      <c r="F9" s="16"/>
      <c r="G9" s="17"/>
    </row>
    <row r="10" spans="1:17">
      <c r="A10" s="15" t="s">
        <v>10</v>
      </c>
      <c r="B10" s="16"/>
      <c r="C10" s="17"/>
      <c r="D10" s="16"/>
      <c r="E10" s="17"/>
      <c r="F10" s="16"/>
      <c r="G10" s="17"/>
    </row>
    <row r="11" spans="1:17" s="20" customFormat="1">
      <c r="A11" s="21" t="s">
        <v>11</v>
      </c>
      <c r="B11" s="16"/>
      <c r="C11" s="17"/>
      <c r="D11" s="16"/>
      <c r="E11" s="17"/>
      <c r="F11" s="16"/>
      <c r="G11" s="17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 s="20" customFormat="1">
      <c r="A12" s="14" t="s">
        <v>12</v>
      </c>
      <c r="B12" s="16"/>
      <c r="C12" s="17"/>
      <c r="D12" s="16"/>
      <c r="E12" s="17"/>
      <c r="F12" s="16"/>
      <c r="G12" s="17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s="20" customFormat="1">
      <c r="A13" s="15" t="s">
        <v>13</v>
      </c>
      <c r="B13" s="16"/>
      <c r="C13" s="17"/>
      <c r="D13" s="16"/>
      <c r="E13" s="17"/>
      <c r="F13" s="16"/>
      <c r="G13" s="17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 s="20" customFormat="1">
      <c r="A14" s="15" t="s">
        <v>14</v>
      </c>
      <c r="B14" s="16"/>
      <c r="C14" s="17"/>
      <c r="D14" s="16"/>
      <c r="E14" s="17"/>
      <c r="F14" s="16"/>
      <c r="G14" s="17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 s="20" customFormat="1">
      <c r="A15" s="15" t="s">
        <v>15</v>
      </c>
      <c r="B15" s="16"/>
      <c r="C15" s="17"/>
      <c r="D15" s="16"/>
      <c r="E15" s="17"/>
      <c r="F15" s="16"/>
      <c r="G15" s="17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21" t="s">
        <v>6</v>
      </c>
      <c r="B16" s="16"/>
      <c r="C16" s="17"/>
      <c r="D16" s="16"/>
      <c r="E16" s="17"/>
      <c r="F16" s="16"/>
      <c r="G16" s="17"/>
    </row>
    <row r="17" spans="1:7">
      <c r="A17" s="21" t="s">
        <v>7</v>
      </c>
      <c r="B17" s="16"/>
      <c r="C17" s="17"/>
      <c r="D17" s="16"/>
      <c r="E17" s="17"/>
      <c r="F17" s="16"/>
      <c r="G17" s="17"/>
    </row>
    <row r="18" spans="1:7">
      <c r="A18" s="21" t="s">
        <v>8</v>
      </c>
      <c r="B18" s="16"/>
      <c r="C18" s="17"/>
      <c r="D18" s="16"/>
      <c r="E18" s="17"/>
      <c r="F18" s="16"/>
      <c r="G18" s="17"/>
    </row>
    <row r="19" spans="1:7">
      <c r="A19" s="15" t="s">
        <v>16</v>
      </c>
      <c r="B19" s="16"/>
      <c r="C19" s="17"/>
      <c r="D19" s="16"/>
      <c r="E19" s="17"/>
      <c r="F19" s="16"/>
      <c r="G19" s="17"/>
    </row>
    <row r="20" spans="1:7">
      <c r="A20" s="21" t="s">
        <v>17</v>
      </c>
      <c r="B20" s="16"/>
      <c r="C20" s="17"/>
      <c r="D20" s="16"/>
      <c r="E20" s="17"/>
      <c r="F20" s="16"/>
      <c r="G20" s="17"/>
    </row>
    <row r="21" spans="1:7">
      <c r="A21" s="21" t="s">
        <v>18</v>
      </c>
      <c r="B21" s="16"/>
      <c r="C21" s="17"/>
      <c r="D21" s="16"/>
      <c r="E21" s="17"/>
      <c r="F21" s="16"/>
      <c r="G21" s="17"/>
    </row>
    <row r="22" spans="1:7">
      <c r="A22" s="21" t="s">
        <v>19</v>
      </c>
      <c r="B22" s="16"/>
      <c r="C22" s="17"/>
      <c r="D22" s="16"/>
      <c r="E22" s="17"/>
      <c r="F22" s="16"/>
      <c r="G22" s="17"/>
    </row>
    <row r="23" spans="1:7">
      <c r="A23" s="21" t="s">
        <v>20</v>
      </c>
      <c r="B23" s="16"/>
      <c r="C23" s="17"/>
      <c r="D23" s="16"/>
      <c r="E23" s="17"/>
      <c r="F23" s="16"/>
      <c r="G23" s="17"/>
    </row>
    <row r="24" spans="1:7">
      <c r="A24" s="15" t="s">
        <v>21</v>
      </c>
      <c r="B24" s="16"/>
      <c r="C24" s="17"/>
      <c r="D24" s="16"/>
      <c r="E24" s="17"/>
      <c r="F24" s="16"/>
      <c r="G24" s="17"/>
    </row>
    <row r="25" spans="1:7">
      <c r="A25" s="15" t="s">
        <v>22</v>
      </c>
      <c r="B25" s="16"/>
      <c r="C25" s="17"/>
      <c r="D25" s="16"/>
      <c r="E25" s="17"/>
      <c r="F25" s="16"/>
      <c r="G25" s="17"/>
    </row>
    <row r="26" spans="1:7">
      <c r="A26" s="21" t="s">
        <v>23</v>
      </c>
      <c r="B26" s="16"/>
      <c r="C26" s="17"/>
      <c r="D26" s="16"/>
      <c r="E26" s="17"/>
      <c r="F26" s="16"/>
      <c r="G26" s="17"/>
    </row>
    <row r="27" spans="1:7">
      <c r="A27" s="15" t="s">
        <v>24</v>
      </c>
      <c r="B27" s="16"/>
      <c r="C27" s="17"/>
      <c r="D27" s="16"/>
      <c r="E27" s="17"/>
      <c r="F27" s="16"/>
      <c r="G27" s="17"/>
    </row>
    <row r="28" spans="1:7">
      <c r="A28" s="15" t="s">
        <v>25</v>
      </c>
      <c r="B28" s="16"/>
      <c r="C28" s="17"/>
      <c r="D28" s="16"/>
      <c r="E28" s="17"/>
      <c r="F28" s="16"/>
      <c r="G28" s="17"/>
    </row>
    <row r="29" spans="1:7">
      <c r="A29" s="21" t="s">
        <v>11</v>
      </c>
      <c r="B29" s="16"/>
      <c r="C29" s="17"/>
      <c r="D29" s="16"/>
      <c r="E29" s="17"/>
      <c r="F29" s="16"/>
      <c r="G29" s="17"/>
    </row>
    <row r="30" spans="1:7">
      <c r="A30" s="15" t="s">
        <v>26</v>
      </c>
      <c r="B30" s="16"/>
      <c r="C30" s="17"/>
      <c r="D30" s="16"/>
      <c r="E30" s="17"/>
      <c r="F30" s="16"/>
      <c r="G30" s="17"/>
    </row>
    <row r="31" spans="1:7">
      <c r="A31" s="21" t="s">
        <v>6</v>
      </c>
      <c r="B31" s="16"/>
      <c r="C31" s="17"/>
      <c r="D31" s="16"/>
      <c r="E31" s="17"/>
      <c r="F31" s="16"/>
      <c r="G31" s="17"/>
    </row>
    <row r="32" spans="1:7">
      <c r="A32" s="21" t="s">
        <v>7</v>
      </c>
      <c r="B32" s="16"/>
      <c r="C32" s="17"/>
      <c r="D32" s="16"/>
      <c r="E32" s="17"/>
      <c r="F32" s="16"/>
      <c r="G32" s="17"/>
    </row>
    <row r="33" spans="1:7">
      <c r="A33" s="21" t="s">
        <v>8</v>
      </c>
      <c r="B33" s="16"/>
      <c r="C33" s="17"/>
      <c r="D33" s="16"/>
      <c r="E33" s="17"/>
      <c r="F33" s="16"/>
      <c r="G33" s="17"/>
    </row>
    <row r="34" spans="1:7">
      <c r="A34" s="15" t="s">
        <v>27</v>
      </c>
      <c r="B34" s="16"/>
      <c r="C34" s="17"/>
      <c r="D34" s="16"/>
      <c r="E34" s="17"/>
      <c r="F34" s="16"/>
      <c r="G34" s="17"/>
    </row>
    <row r="35" spans="1:7">
      <c r="A35" s="21" t="s">
        <v>28</v>
      </c>
      <c r="B35" s="16"/>
      <c r="C35" s="17"/>
      <c r="D35" s="16"/>
      <c r="E35" s="17"/>
      <c r="F35" s="16"/>
      <c r="G35" s="17"/>
    </row>
    <row r="36" spans="1:7" ht="22.5">
      <c r="A36" s="15" t="s">
        <v>29</v>
      </c>
      <c r="B36" s="16"/>
      <c r="C36" s="17"/>
      <c r="D36" s="16"/>
      <c r="E36" s="17"/>
      <c r="F36" s="16"/>
      <c r="G36" s="17"/>
    </row>
    <row r="37" spans="1:7">
      <c r="A37" s="21" t="s">
        <v>6</v>
      </c>
      <c r="B37" s="16"/>
      <c r="C37" s="17"/>
      <c r="D37" s="16"/>
      <c r="E37" s="17"/>
      <c r="F37" s="16"/>
      <c r="G37" s="17"/>
    </row>
    <row r="38" spans="1:7">
      <c r="A38" s="21" t="s">
        <v>7</v>
      </c>
      <c r="B38" s="16"/>
      <c r="C38" s="17"/>
      <c r="D38" s="16"/>
      <c r="E38" s="17"/>
      <c r="F38" s="16"/>
      <c r="G38" s="17"/>
    </row>
    <row r="39" spans="1:7">
      <c r="A39" s="21" t="s">
        <v>8</v>
      </c>
      <c r="B39" s="16"/>
      <c r="C39" s="17"/>
      <c r="D39" s="16"/>
      <c r="E39" s="17"/>
      <c r="F39" s="16"/>
      <c r="G39" s="17"/>
    </row>
    <row r="40" spans="1:7">
      <c r="A40" s="15" t="s">
        <v>30</v>
      </c>
      <c r="B40" s="16"/>
      <c r="C40" s="17"/>
      <c r="D40" s="16"/>
      <c r="E40" s="17"/>
      <c r="F40" s="16"/>
      <c r="G40" s="17"/>
    </row>
    <row r="41" spans="1:7">
      <c r="A41" s="15" t="s">
        <v>31</v>
      </c>
      <c r="B41" s="16"/>
      <c r="C41" s="17"/>
      <c r="D41" s="16"/>
      <c r="E41" s="17"/>
      <c r="F41" s="16"/>
      <c r="G41" s="17"/>
    </row>
    <row r="42" spans="1:7">
      <c r="A42" s="21" t="s">
        <v>32</v>
      </c>
      <c r="B42" s="16"/>
      <c r="C42" s="17"/>
      <c r="D42" s="16"/>
      <c r="E42" s="17"/>
      <c r="F42" s="16"/>
      <c r="G42" s="17"/>
    </row>
    <row r="43" spans="1:7">
      <c r="A43" s="21" t="s">
        <v>33</v>
      </c>
      <c r="B43" s="16"/>
      <c r="C43" s="17"/>
      <c r="D43" s="16"/>
      <c r="E43" s="17"/>
      <c r="F43" s="16"/>
      <c r="G43" s="17"/>
    </row>
    <row r="44" spans="1:7">
      <c r="A44" s="21" t="s">
        <v>34</v>
      </c>
      <c r="B44" s="16"/>
      <c r="C44" s="17"/>
      <c r="D44" s="16"/>
      <c r="E44" s="17"/>
      <c r="F44" s="16"/>
      <c r="G44" s="17"/>
    </row>
    <row r="45" spans="1:7">
      <c r="A45" s="15" t="s">
        <v>35</v>
      </c>
      <c r="B45" s="16"/>
      <c r="C45" s="17"/>
      <c r="D45" s="16"/>
      <c r="E45" s="17"/>
      <c r="F45" s="16"/>
      <c r="G45" s="17"/>
    </row>
    <row r="46" spans="1:7">
      <c r="A46" s="21" t="s">
        <v>36</v>
      </c>
      <c r="B46" s="16"/>
      <c r="C46" s="17"/>
      <c r="D46" s="16"/>
      <c r="E46" s="17"/>
      <c r="F46" s="16"/>
      <c r="G46" s="17"/>
    </row>
    <row r="47" spans="1:7">
      <c r="A47" s="21" t="s">
        <v>37</v>
      </c>
      <c r="B47" s="16"/>
      <c r="C47" s="17"/>
      <c r="D47" s="16"/>
      <c r="E47" s="17"/>
      <c r="F47" s="16"/>
      <c r="G47" s="17"/>
    </row>
    <row r="48" spans="1:7">
      <c r="A48" s="18"/>
    </row>
    <row r="49" spans="1:1">
      <c r="A49" s="18"/>
    </row>
    <row r="50" spans="1:1">
      <c r="A50" s="18"/>
    </row>
    <row r="51" spans="1:1">
      <c r="A51" s="18"/>
    </row>
    <row r="52" spans="1:1">
      <c r="A52" s="18"/>
    </row>
    <row r="53" spans="1:1">
      <c r="A53" s="18"/>
    </row>
    <row r="54" spans="1:1">
      <c r="A54" s="18"/>
    </row>
    <row r="55" spans="1:1">
      <c r="A55" s="18"/>
    </row>
    <row r="56" spans="1:1">
      <c r="A56" s="18"/>
    </row>
    <row r="57" spans="1:1">
      <c r="A57" s="18"/>
    </row>
    <row r="58" spans="1:1">
      <c r="A58" s="18"/>
    </row>
    <row r="59" spans="1:1">
      <c r="A59" s="18"/>
    </row>
    <row r="60" spans="1:1">
      <c r="A60" s="18"/>
    </row>
    <row r="61" spans="1:1">
      <c r="A61" s="18"/>
    </row>
    <row r="62" spans="1:1">
      <c r="A62" s="18"/>
    </row>
    <row r="63" spans="1:1">
      <c r="A63" s="18"/>
    </row>
    <row r="64" spans="1:1">
      <c r="A64" s="18"/>
    </row>
    <row r="65" spans="1:1">
      <c r="A65" s="18"/>
    </row>
    <row r="66" spans="1:1">
      <c r="A66" s="18"/>
    </row>
    <row r="67" spans="1:1">
      <c r="A67" s="18"/>
    </row>
    <row r="68" spans="1:1">
      <c r="A68" s="18"/>
    </row>
    <row r="69" spans="1:1">
      <c r="A69" s="18"/>
    </row>
    <row r="70" spans="1:1">
      <c r="A70" s="18"/>
    </row>
    <row r="71" spans="1:1">
      <c r="A71" s="18"/>
    </row>
    <row r="72" spans="1:1">
      <c r="A72" s="18"/>
    </row>
    <row r="73" spans="1:1">
      <c r="A73" s="18"/>
    </row>
    <row r="74" spans="1:1">
      <c r="A74" s="18"/>
    </row>
    <row r="75" spans="1:1">
      <c r="A75" s="18"/>
    </row>
    <row r="76" spans="1:1">
      <c r="A76" s="18"/>
    </row>
    <row r="77" spans="1:1">
      <c r="A77" s="18"/>
    </row>
    <row r="78" spans="1:1">
      <c r="A78" s="18"/>
    </row>
    <row r="79" spans="1:1">
      <c r="A79" s="18"/>
    </row>
    <row r="80" spans="1:1">
      <c r="A80" s="18"/>
    </row>
    <row r="81" spans="1:1">
      <c r="A81" s="18"/>
    </row>
    <row r="82" spans="1:1">
      <c r="A82" s="18"/>
    </row>
    <row r="83" spans="1:1">
      <c r="A83" s="18"/>
    </row>
    <row r="84" spans="1:1">
      <c r="A84" s="18"/>
    </row>
    <row r="85" spans="1:1">
      <c r="A85" s="18"/>
    </row>
    <row r="86" spans="1:1">
      <c r="A86" s="18"/>
    </row>
    <row r="87" spans="1:1">
      <c r="A87" s="18"/>
    </row>
    <row r="88" spans="1:1">
      <c r="A88" s="18"/>
    </row>
    <row r="89" spans="1:1">
      <c r="A89" s="18"/>
    </row>
    <row r="90" spans="1:1">
      <c r="A90" s="18"/>
    </row>
    <row r="91" spans="1:1">
      <c r="A91" s="18"/>
    </row>
    <row r="92" spans="1:1">
      <c r="A92" s="18"/>
    </row>
    <row r="93" spans="1:1">
      <c r="A93" s="18"/>
    </row>
    <row r="94" spans="1:1">
      <c r="A94" s="18"/>
    </row>
    <row r="95" spans="1:1">
      <c r="A95" s="18"/>
    </row>
    <row r="96" spans="1:1">
      <c r="A96" s="18"/>
    </row>
    <row r="97" spans="1:1">
      <c r="A97" s="18"/>
    </row>
    <row r="98" spans="1:1">
      <c r="A98" s="18"/>
    </row>
    <row r="99" spans="1:1">
      <c r="A99" s="18"/>
    </row>
    <row r="100" spans="1:1">
      <c r="A100" s="18"/>
    </row>
    <row r="101" spans="1:1">
      <c r="A101" s="18"/>
    </row>
    <row r="102" spans="1:1">
      <c r="A102" s="18"/>
    </row>
  </sheetData>
  <mergeCells count="4">
    <mergeCell ref="F1:G1"/>
    <mergeCell ref="A1:A2"/>
    <mergeCell ref="B1:C1"/>
    <mergeCell ref="D1:E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7AAD-807B-4CA0-9F27-AADA10CA84E1}">
  <sheetPr>
    <pageSetUpPr fitToPage="1"/>
  </sheetPr>
  <dimension ref="B1:H141"/>
  <sheetViews>
    <sheetView showGridLines="0" tabSelected="1" topLeftCell="B1" zoomScale="110" zoomScaleNormal="110" zoomScaleSheetLayoutView="63" workbookViewId="0">
      <pane ySplit="2" topLeftCell="B31" activePane="bottomLeft" state="frozen"/>
      <selection pane="bottomLeft" activeCell="G41" sqref="G41"/>
      <selection activeCell="B1" sqref="B1"/>
    </sheetView>
  </sheetViews>
  <sheetFormatPr defaultColWidth="8.85546875" defaultRowHeight="16.5" customHeight="1"/>
  <cols>
    <col min="1" max="1" width="0" style="23" hidden="1" customWidth="1"/>
    <col min="2" max="2" width="44.5703125" style="23" customWidth="1"/>
    <col min="3" max="3" width="11.7109375" style="34" customWidth="1"/>
    <col min="4" max="4" width="16.85546875" style="30" bestFit="1" customWidth="1"/>
    <col min="5" max="5" width="11.7109375" style="34" customWidth="1"/>
    <col min="6" max="6" width="16.85546875" style="30" bestFit="1" customWidth="1"/>
    <col min="7" max="7" width="11.7109375" style="34" customWidth="1"/>
    <col min="8" max="8" width="16.85546875" style="30" bestFit="1" customWidth="1"/>
    <col min="9" max="16384" width="8.85546875" style="23"/>
  </cols>
  <sheetData>
    <row r="1" spans="2:8" ht="18" customHeight="1" thickBot="1">
      <c r="B1" s="60" t="s">
        <v>0</v>
      </c>
      <c r="C1" s="94">
        <v>2027</v>
      </c>
      <c r="D1" s="95"/>
      <c r="E1" s="94">
        <v>2028</v>
      </c>
      <c r="F1" s="96"/>
      <c r="G1" s="94">
        <v>2029</v>
      </c>
      <c r="H1" s="96"/>
    </row>
    <row r="2" spans="2:8" ht="30.6" customHeight="1">
      <c r="B2" s="80"/>
      <c r="C2" s="24" t="s">
        <v>1</v>
      </c>
      <c r="D2" s="27" t="s">
        <v>2</v>
      </c>
      <c r="E2" s="79" t="s">
        <v>1</v>
      </c>
      <c r="F2" s="58" t="s">
        <v>2</v>
      </c>
      <c r="G2" s="24" t="s">
        <v>1</v>
      </c>
      <c r="H2" s="53" t="s">
        <v>2</v>
      </c>
    </row>
    <row r="3" spans="2:8" ht="17.25">
      <c r="B3" s="81" t="s">
        <v>38</v>
      </c>
      <c r="C3" s="35"/>
      <c r="D3" s="28">
        <f>SUM(D4:D13)</f>
        <v>9120000</v>
      </c>
      <c r="E3" s="35"/>
      <c r="F3" s="28">
        <f>SUM(F4:F13)</f>
        <v>9174800</v>
      </c>
      <c r="G3" s="35"/>
      <c r="H3" s="31">
        <f>SUM(H4:H13)</f>
        <v>159229800</v>
      </c>
    </row>
    <row r="4" spans="2:8" ht="17.25">
      <c r="B4" s="61" t="s">
        <v>4</v>
      </c>
      <c r="C4" s="33"/>
      <c r="D4" s="75"/>
      <c r="E4" s="33"/>
      <c r="F4" s="32"/>
      <c r="G4" s="33"/>
      <c r="H4" s="32"/>
    </row>
    <row r="5" spans="2:8">
      <c r="B5" s="62" t="s">
        <v>5</v>
      </c>
      <c r="C5" s="33"/>
      <c r="D5" s="29"/>
      <c r="E5" s="33"/>
      <c r="F5" s="32"/>
      <c r="G5" s="33"/>
      <c r="H5" s="32"/>
    </row>
    <row r="6" spans="2:8">
      <c r="B6" s="63" t="s">
        <v>39</v>
      </c>
      <c r="C6" s="33"/>
      <c r="D6" s="29"/>
      <c r="E6" s="33"/>
      <c r="F6" s="32"/>
      <c r="G6" s="33"/>
      <c r="H6" s="32"/>
    </row>
    <row r="7" spans="2:8" ht="33">
      <c r="B7" s="59" t="s">
        <v>40</v>
      </c>
      <c r="C7" s="33"/>
      <c r="D7" s="29"/>
      <c r="E7" s="33"/>
      <c r="F7" s="32"/>
      <c r="G7" s="33" t="s">
        <v>41</v>
      </c>
      <c r="H7" s="32">
        <f>1500*100000</f>
        <v>150000000</v>
      </c>
    </row>
    <row r="8" spans="2:8" ht="34.5">
      <c r="B8" s="64" t="s">
        <v>12</v>
      </c>
      <c r="C8" s="33"/>
      <c r="D8" s="29"/>
      <c r="E8" s="33"/>
      <c r="F8" s="32"/>
      <c r="G8" s="33"/>
      <c r="H8" s="32"/>
    </row>
    <row r="9" spans="2:8" ht="33">
      <c r="B9" s="62" t="s">
        <v>42</v>
      </c>
      <c r="C9" s="33"/>
      <c r="D9" s="29"/>
      <c r="E9" s="33"/>
      <c r="F9" s="32"/>
      <c r="G9" s="33"/>
      <c r="H9" s="32"/>
    </row>
    <row r="10" spans="2:8">
      <c r="B10" s="63" t="s">
        <v>43</v>
      </c>
      <c r="C10" s="33"/>
      <c r="D10" s="29"/>
      <c r="E10" s="33"/>
      <c r="F10" s="32"/>
      <c r="G10" s="33"/>
      <c r="H10" s="32"/>
    </row>
    <row r="11" spans="2:8">
      <c r="B11" s="59" t="s">
        <v>44</v>
      </c>
      <c r="C11" s="33" t="s">
        <v>41</v>
      </c>
      <c r="D11" s="29">
        <v>1000000</v>
      </c>
      <c r="E11" s="33" t="s">
        <v>41</v>
      </c>
      <c r="F11" s="32">
        <f>D11*1.006</f>
        <v>1006000</v>
      </c>
      <c r="G11" s="33" t="s">
        <v>41</v>
      </c>
      <c r="H11" s="32">
        <v>1012000</v>
      </c>
    </row>
    <row r="12" spans="2:8">
      <c r="B12" s="59" t="s">
        <v>45</v>
      </c>
      <c r="C12" s="33" t="s">
        <v>41</v>
      </c>
      <c r="D12" s="29">
        <v>8000000</v>
      </c>
      <c r="E12" s="33" t="s">
        <v>41</v>
      </c>
      <c r="F12" s="32">
        <f>D12*1.006</f>
        <v>8048000</v>
      </c>
      <c r="G12" s="33" t="s">
        <v>41</v>
      </c>
      <c r="H12" s="32">
        <v>8096300</v>
      </c>
    </row>
    <row r="13" spans="2:8">
      <c r="B13" s="62" t="s">
        <v>46</v>
      </c>
      <c r="C13" s="33" t="s">
        <v>47</v>
      </c>
      <c r="D13" s="29">
        <f>20000+30000+50000+20000</f>
        <v>120000</v>
      </c>
      <c r="E13" s="33" t="s">
        <v>47</v>
      </c>
      <c r="F13" s="32">
        <v>120800</v>
      </c>
      <c r="G13" s="33" t="s">
        <v>47</v>
      </c>
      <c r="H13" s="32">
        <v>121500</v>
      </c>
    </row>
    <row r="14" spans="2:8" ht="17.25">
      <c r="B14" s="82" t="s">
        <v>48</v>
      </c>
      <c r="C14" s="25"/>
      <c r="D14" s="28">
        <f>SUM(D15:D21)</f>
        <v>0</v>
      </c>
      <c r="E14" s="35"/>
      <c r="F14" s="28">
        <f>SUM(F15:F21)</f>
        <v>25123350.399999999</v>
      </c>
      <c r="G14" s="25"/>
      <c r="H14" s="31">
        <f>SUM(H15:H21)</f>
        <v>4623350.4000000004</v>
      </c>
    </row>
    <row r="15" spans="2:8" ht="34.5">
      <c r="B15" s="64" t="s">
        <v>12</v>
      </c>
      <c r="C15" s="33"/>
      <c r="D15" s="29"/>
      <c r="E15" s="33"/>
      <c r="F15" s="32"/>
      <c r="G15" s="33"/>
      <c r="H15" s="32"/>
    </row>
    <row r="16" spans="2:8">
      <c r="B16" s="62" t="s">
        <v>5</v>
      </c>
      <c r="C16" s="33"/>
      <c r="D16" s="29"/>
      <c r="E16" s="33"/>
      <c r="F16" s="32"/>
      <c r="G16" s="33"/>
      <c r="H16" s="32"/>
    </row>
    <row r="17" spans="2:8">
      <c r="B17" s="63" t="s">
        <v>39</v>
      </c>
      <c r="C17" s="33"/>
      <c r="D17" s="29"/>
      <c r="E17" s="33"/>
      <c r="F17" s="32"/>
      <c r="G17" s="33"/>
      <c r="H17" s="32"/>
    </row>
    <row r="18" spans="2:8" ht="33">
      <c r="B18" s="59" t="s">
        <v>49</v>
      </c>
      <c r="C18" s="33"/>
      <c r="D18" s="29"/>
      <c r="E18" s="33" t="s">
        <v>41</v>
      </c>
      <c r="F18" s="32">
        <v>20000000</v>
      </c>
      <c r="G18" s="33"/>
      <c r="H18" s="32"/>
    </row>
    <row r="19" spans="2:8">
      <c r="B19" s="62" t="s">
        <v>50</v>
      </c>
      <c r="C19" s="33"/>
      <c r="D19" s="29"/>
      <c r="E19" s="33"/>
      <c r="F19" s="32"/>
      <c r="G19" s="33"/>
      <c r="H19" s="32"/>
    </row>
    <row r="20" spans="2:8">
      <c r="B20" s="63" t="s">
        <v>51</v>
      </c>
      <c r="C20" s="33"/>
      <c r="D20" s="29"/>
      <c r="E20" s="33" t="s">
        <v>52</v>
      </c>
      <c r="F20" s="32">
        <f>1541116.8*3</f>
        <v>4623350.4000000004</v>
      </c>
      <c r="G20" s="33" t="s">
        <v>52</v>
      </c>
      <c r="H20" s="32">
        <f>1541116.8*3</f>
        <v>4623350.4000000004</v>
      </c>
    </row>
    <row r="21" spans="2:8">
      <c r="B21" s="62" t="s">
        <v>53</v>
      </c>
      <c r="C21" s="33"/>
      <c r="D21" s="29"/>
      <c r="E21" s="33" t="s">
        <v>54</v>
      </c>
      <c r="F21" s="32">
        <f>10*50000</f>
        <v>500000</v>
      </c>
      <c r="G21" s="33"/>
      <c r="H21" s="32"/>
    </row>
    <row r="22" spans="2:8" ht="34.5">
      <c r="B22" s="82" t="s">
        <v>55</v>
      </c>
      <c r="C22" s="25"/>
      <c r="D22" s="28">
        <f>SUM(D23:D36)</f>
        <v>89256000</v>
      </c>
      <c r="E22" s="35"/>
      <c r="F22" s="28">
        <f>SUM(F23:F36)</f>
        <v>0</v>
      </c>
      <c r="G22" s="25"/>
      <c r="H22" s="31">
        <f>SUM(H23:H36)</f>
        <v>0</v>
      </c>
    </row>
    <row r="23" spans="2:8" s="22" customFormat="1" ht="34.5">
      <c r="B23" s="64" t="s">
        <v>12</v>
      </c>
      <c r="C23" s="33"/>
      <c r="D23" s="29"/>
      <c r="E23" s="33"/>
      <c r="F23" s="32"/>
      <c r="G23" s="33"/>
      <c r="H23" s="32"/>
    </row>
    <row r="24" spans="2:8">
      <c r="B24" s="62" t="s">
        <v>56</v>
      </c>
      <c r="C24" s="33"/>
      <c r="D24" s="29"/>
      <c r="E24" s="33"/>
      <c r="F24" s="32"/>
      <c r="G24" s="33"/>
      <c r="H24" s="32"/>
    </row>
    <row r="25" spans="2:8">
      <c r="B25" s="59" t="s">
        <v>57</v>
      </c>
      <c r="C25" s="39">
        <v>1</v>
      </c>
      <c r="D25" s="40">
        <v>12000000</v>
      </c>
      <c r="E25" s="39"/>
      <c r="F25" s="55"/>
      <c r="G25" s="39"/>
      <c r="H25" s="55"/>
    </row>
    <row r="26" spans="2:8">
      <c r="B26" s="59" t="s">
        <v>58</v>
      </c>
      <c r="C26" s="39">
        <v>1</v>
      </c>
      <c r="D26" s="40">
        <v>8000000</v>
      </c>
      <c r="E26" s="39"/>
      <c r="F26" s="55"/>
      <c r="G26" s="39"/>
      <c r="H26" s="55"/>
    </row>
    <row r="27" spans="2:8">
      <c r="B27" s="59" t="s">
        <v>59</v>
      </c>
      <c r="C27" s="39">
        <v>1</v>
      </c>
      <c r="D27" s="40">
        <v>7000000</v>
      </c>
      <c r="E27" s="39"/>
      <c r="F27" s="55"/>
      <c r="G27" s="39"/>
      <c r="H27" s="55"/>
    </row>
    <row r="28" spans="2:8">
      <c r="B28" s="59" t="s">
        <v>60</v>
      </c>
      <c r="C28" s="39">
        <v>1</v>
      </c>
      <c r="D28" s="40">
        <v>4000000</v>
      </c>
      <c r="E28" s="39"/>
      <c r="F28" s="55"/>
      <c r="G28" s="39"/>
      <c r="H28" s="55"/>
    </row>
    <row r="29" spans="2:8">
      <c r="B29" s="59" t="s">
        <v>61</v>
      </c>
      <c r="C29" s="39">
        <v>1</v>
      </c>
      <c r="D29" s="40">
        <v>12000000</v>
      </c>
      <c r="E29" s="39"/>
      <c r="F29" s="55"/>
      <c r="G29" s="39"/>
      <c r="H29" s="55"/>
    </row>
    <row r="30" spans="2:8" ht="16.5" customHeight="1">
      <c r="B30" s="59" t="s">
        <v>62</v>
      </c>
      <c r="C30" s="39" t="s">
        <v>41</v>
      </c>
      <c r="D30" s="29">
        <v>15000000</v>
      </c>
      <c r="E30" s="39"/>
      <c r="F30" s="41"/>
      <c r="G30" s="39"/>
      <c r="H30" s="41"/>
    </row>
    <row r="31" spans="2:8" ht="33">
      <c r="B31" s="66" t="s">
        <v>63</v>
      </c>
      <c r="C31" s="39">
        <v>10</v>
      </c>
      <c r="D31" s="29">
        <v>2000000</v>
      </c>
      <c r="E31" s="39"/>
      <c r="F31" s="41"/>
      <c r="G31" s="39"/>
      <c r="H31" s="41"/>
    </row>
    <row r="32" spans="2:8">
      <c r="B32" s="59" t="s">
        <v>64</v>
      </c>
      <c r="C32" s="33" t="s">
        <v>41</v>
      </c>
      <c r="D32" s="29">
        <f>5000000</f>
        <v>5000000</v>
      </c>
      <c r="E32" s="39"/>
      <c r="F32" s="41"/>
      <c r="G32" s="33"/>
      <c r="H32" s="32"/>
    </row>
    <row r="33" spans="2:8">
      <c r="B33" s="59" t="s">
        <v>65</v>
      </c>
      <c r="C33" s="33"/>
      <c r="D33" s="29"/>
      <c r="E33" s="33"/>
      <c r="F33" s="32"/>
      <c r="G33" s="33"/>
      <c r="H33" s="32"/>
    </row>
    <row r="34" spans="2:8">
      <c r="B34" s="65" t="s">
        <v>66</v>
      </c>
      <c r="C34" s="33" t="s">
        <v>41</v>
      </c>
      <c r="D34" s="29">
        <v>2376000</v>
      </c>
      <c r="E34" s="33"/>
      <c r="F34" s="32"/>
      <c r="G34" s="33"/>
      <c r="H34" s="32"/>
    </row>
    <row r="35" spans="2:8">
      <c r="B35" s="65" t="s">
        <v>67</v>
      </c>
      <c r="C35" s="33" t="s">
        <v>41</v>
      </c>
      <c r="D35" s="29">
        <v>11880000</v>
      </c>
      <c r="E35" s="33"/>
      <c r="F35" s="32"/>
      <c r="G35" s="33"/>
      <c r="H35" s="32"/>
    </row>
    <row r="36" spans="2:8" ht="32.1" customHeight="1">
      <c r="B36" s="65" t="s">
        <v>68</v>
      </c>
      <c r="C36" s="33" t="s">
        <v>41</v>
      </c>
      <c r="D36" s="29">
        <v>10000000</v>
      </c>
      <c r="E36" s="33"/>
      <c r="F36" s="32"/>
      <c r="G36" s="33"/>
      <c r="H36" s="32"/>
    </row>
    <row r="37" spans="2:8" ht="17.25">
      <c r="B37" s="81" t="s">
        <v>69</v>
      </c>
      <c r="C37" s="35"/>
      <c r="D37" s="28">
        <f>SUM(D38:D42)</f>
        <v>0</v>
      </c>
      <c r="E37" s="25"/>
      <c r="F37" s="31">
        <f>SUM(F38:F42)</f>
        <v>20100000</v>
      </c>
      <c r="G37" s="25"/>
      <c r="H37" s="31">
        <f>SUM(H38:H42)</f>
        <v>0</v>
      </c>
    </row>
    <row r="38" spans="2:8" ht="17.25">
      <c r="B38" s="61" t="s">
        <v>4</v>
      </c>
      <c r="C38" s="33"/>
      <c r="D38" s="29"/>
      <c r="E38" s="33"/>
      <c r="F38" s="32"/>
      <c r="G38" s="33"/>
      <c r="H38" s="32"/>
    </row>
    <row r="39" spans="2:8">
      <c r="B39" s="67" t="s">
        <v>5</v>
      </c>
      <c r="C39" s="33"/>
      <c r="D39" s="29"/>
      <c r="E39" s="33"/>
      <c r="F39" s="32"/>
      <c r="G39" s="33"/>
      <c r="H39" s="32"/>
    </row>
    <row r="40" spans="2:8">
      <c r="B40" s="68" t="s">
        <v>39</v>
      </c>
      <c r="C40" s="33"/>
      <c r="D40" s="29"/>
      <c r="E40" s="33" t="s">
        <v>41</v>
      </c>
      <c r="F40" s="32">
        <v>20000000</v>
      </c>
      <c r="G40" s="33"/>
      <c r="H40" s="32"/>
    </row>
    <row r="41" spans="2:8" ht="34.5">
      <c r="B41" s="64" t="s">
        <v>12</v>
      </c>
      <c r="C41" s="43"/>
      <c r="D41" s="29"/>
      <c r="E41" s="43"/>
      <c r="F41" s="32"/>
      <c r="G41" s="33"/>
      <c r="H41" s="32"/>
    </row>
    <row r="42" spans="2:8">
      <c r="B42" s="69" t="s">
        <v>13</v>
      </c>
      <c r="C42" s="33"/>
      <c r="D42" s="29"/>
      <c r="E42" s="33" t="s">
        <v>41</v>
      </c>
      <c r="F42" s="32">
        <v>100000</v>
      </c>
      <c r="G42" s="33"/>
      <c r="H42" s="32"/>
    </row>
    <row r="43" spans="2:8" ht="17.25">
      <c r="B43" s="81" t="s">
        <v>70</v>
      </c>
      <c r="C43" s="25"/>
      <c r="D43" s="28">
        <f>SUM(D44:D127)</f>
        <v>238566538.80000001</v>
      </c>
      <c r="E43" s="35"/>
      <c r="F43" s="28">
        <f>SUM(F44:F127)</f>
        <v>357461433.36400002</v>
      </c>
      <c r="G43" s="25"/>
      <c r="H43" s="31">
        <f>SUM(H44:H127)</f>
        <v>378805803.79538399</v>
      </c>
    </row>
    <row r="44" spans="2:8" s="22" customFormat="1" ht="34.5">
      <c r="B44" s="64" t="s">
        <v>12</v>
      </c>
      <c r="C44" s="33"/>
      <c r="D44" s="29"/>
      <c r="E44" s="33"/>
      <c r="F44" s="32"/>
      <c r="G44" s="33"/>
      <c r="H44" s="32"/>
    </row>
    <row r="45" spans="2:8">
      <c r="B45" s="62" t="s">
        <v>71</v>
      </c>
      <c r="C45" s="33"/>
      <c r="D45" s="29"/>
      <c r="E45" s="33"/>
      <c r="F45" s="32"/>
      <c r="G45" s="33"/>
      <c r="H45" s="32"/>
    </row>
    <row r="46" spans="2:8" ht="18.600000000000001" customHeight="1">
      <c r="B46" s="63" t="s">
        <v>72</v>
      </c>
      <c r="C46" s="33" t="s">
        <v>41</v>
      </c>
      <c r="D46" s="29">
        <v>3000000</v>
      </c>
      <c r="E46" s="33" t="s">
        <v>41</v>
      </c>
      <c r="F46" s="32">
        <v>3000000</v>
      </c>
      <c r="G46" s="33" t="s">
        <v>41</v>
      </c>
      <c r="H46" s="32">
        <v>3000000</v>
      </c>
    </row>
    <row r="47" spans="2:8" ht="18.600000000000001" customHeight="1">
      <c r="B47" s="63" t="s">
        <v>73</v>
      </c>
      <c r="C47" s="33" t="s">
        <v>74</v>
      </c>
      <c r="D47" s="29">
        <f>(924*60)*8</f>
        <v>443520</v>
      </c>
      <c r="E47" s="33"/>
      <c r="F47" s="32"/>
      <c r="G47" s="33"/>
      <c r="H47" s="32"/>
    </row>
    <row r="48" spans="2:8" ht="18.600000000000001" customHeight="1">
      <c r="B48" s="63" t="s">
        <v>75</v>
      </c>
      <c r="C48" s="33" t="s">
        <v>74</v>
      </c>
      <c r="D48" s="29">
        <f>(1001*60)*8</f>
        <v>480480</v>
      </c>
      <c r="E48" s="33"/>
      <c r="F48" s="32"/>
      <c r="G48" s="33"/>
      <c r="H48" s="32"/>
    </row>
    <row r="49" spans="2:8" ht="18.600000000000001" customHeight="1">
      <c r="B49" s="63" t="s">
        <v>76</v>
      </c>
      <c r="C49" s="33"/>
      <c r="D49" s="29"/>
      <c r="E49" s="33" t="s">
        <v>47</v>
      </c>
      <c r="F49" s="32">
        <f>(920*60)*(4)</f>
        <v>220800</v>
      </c>
      <c r="G49" s="33"/>
      <c r="H49" s="32"/>
    </row>
    <row r="50" spans="2:8" ht="18.600000000000001" customHeight="1">
      <c r="B50" s="63" t="s">
        <v>77</v>
      </c>
      <c r="C50" s="33"/>
      <c r="D50" s="29"/>
      <c r="E50" s="33" t="s">
        <v>47</v>
      </c>
      <c r="F50" s="32">
        <f>(920*60)*(4)</f>
        <v>220800</v>
      </c>
      <c r="G50" s="33"/>
      <c r="H50" s="32"/>
    </row>
    <row r="51" spans="2:8" ht="18.600000000000001" customHeight="1">
      <c r="B51" s="63" t="s">
        <v>78</v>
      </c>
      <c r="C51" s="33"/>
      <c r="D51" s="29"/>
      <c r="E51" s="33" t="s">
        <v>47</v>
      </c>
      <c r="F51" s="32">
        <f>(1319*60)*4</f>
        <v>316560</v>
      </c>
      <c r="G51" s="33"/>
      <c r="H51" s="32"/>
    </row>
    <row r="52" spans="2:8" ht="18.600000000000001" customHeight="1">
      <c r="B52" s="63" t="s">
        <v>79</v>
      </c>
      <c r="C52" s="33"/>
      <c r="D52" s="29"/>
      <c r="E52" s="33" t="s">
        <v>47</v>
      </c>
      <c r="F52" s="32">
        <f>(1001*60)*(4)</f>
        <v>240240</v>
      </c>
      <c r="G52" s="33"/>
      <c r="H52" s="32"/>
    </row>
    <row r="53" spans="2:8" ht="18.600000000000001" customHeight="1">
      <c r="B53" s="63" t="s">
        <v>80</v>
      </c>
      <c r="C53" s="33"/>
      <c r="D53" s="29"/>
      <c r="E53" s="33"/>
      <c r="F53" s="32"/>
      <c r="G53" s="33" t="s">
        <v>47</v>
      </c>
      <c r="H53" s="32">
        <f>(920*60)*(4)</f>
        <v>220800</v>
      </c>
    </row>
    <row r="54" spans="2:8" ht="18.600000000000001" customHeight="1">
      <c r="B54" s="63" t="s">
        <v>81</v>
      </c>
      <c r="C54" s="33"/>
      <c r="D54" s="29"/>
      <c r="E54" s="33"/>
      <c r="F54" s="32"/>
      <c r="G54" s="33" t="s">
        <v>47</v>
      </c>
      <c r="H54" s="32">
        <f>(1250*60)*(4)</f>
        <v>300000</v>
      </c>
    </row>
    <row r="55" spans="2:8" ht="18.600000000000001" customHeight="1">
      <c r="B55" s="63" t="s">
        <v>82</v>
      </c>
      <c r="C55" s="33" t="s">
        <v>54</v>
      </c>
      <c r="D55" s="29">
        <f>10*50000</f>
        <v>500000</v>
      </c>
      <c r="E55" s="33" t="s">
        <v>54</v>
      </c>
      <c r="F55" s="32">
        <f>10*50000</f>
        <v>500000</v>
      </c>
      <c r="G55" s="33" t="s">
        <v>54</v>
      </c>
      <c r="H55" s="32">
        <f>10*50000</f>
        <v>500000</v>
      </c>
    </row>
    <row r="56" spans="2:8" ht="18.600000000000001" customHeight="1">
      <c r="B56" s="63" t="s">
        <v>83</v>
      </c>
      <c r="C56" s="33" t="s">
        <v>84</v>
      </c>
      <c r="D56" s="29">
        <f>5*70000</f>
        <v>350000</v>
      </c>
      <c r="E56" s="33"/>
      <c r="F56" s="32"/>
      <c r="G56" s="33" t="s">
        <v>84</v>
      </c>
      <c r="H56" s="32">
        <f>5*70000</f>
        <v>350000</v>
      </c>
    </row>
    <row r="57" spans="2:8" s="22" customFormat="1">
      <c r="B57" s="62" t="s">
        <v>14</v>
      </c>
      <c r="C57" s="33"/>
      <c r="D57" s="29"/>
      <c r="E57" s="33"/>
      <c r="F57" s="32"/>
      <c r="G57" s="33"/>
      <c r="H57" s="32"/>
    </row>
    <row r="58" spans="2:8" ht="45" customHeight="1">
      <c r="B58" s="63" t="s">
        <v>85</v>
      </c>
      <c r="C58" s="33" t="s">
        <v>41</v>
      </c>
      <c r="D58" s="29">
        <v>200000</v>
      </c>
      <c r="E58" s="33" t="s">
        <v>41</v>
      </c>
      <c r="F58" s="32">
        <v>200000</v>
      </c>
      <c r="G58" s="33" t="s">
        <v>41</v>
      </c>
      <c r="H58" s="32">
        <v>200000</v>
      </c>
    </row>
    <row r="59" spans="2:8" ht="32.450000000000003" customHeight="1">
      <c r="B59" s="63" t="s">
        <v>86</v>
      </c>
      <c r="C59" s="46" t="s">
        <v>41</v>
      </c>
      <c r="D59" s="47">
        <f>(24*20000)+(11*35000)</f>
        <v>865000</v>
      </c>
      <c r="E59" s="46" t="s">
        <v>41</v>
      </c>
      <c r="F59" s="45">
        <f>(24*20000)+(11*35000)</f>
        <v>865000</v>
      </c>
      <c r="G59" s="46"/>
      <c r="H59" s="45"/>
    </row>
    <row r="60" spans="2:8">
      <c r="B60" s="62" t="s">
        <v>87</v>
      </c>
      <c r="C60" s="33"/>
      <c r="D60" s="29"/>
      <c r="E60" s="33"/>
      <c r="F60" s="32"/>
      <c r="G60" s="33"/>
      <c r="H60" s="32"/>
    </row>
    <row r="61" spans="2:8">
      <c r="B61" s="63" t="s">
        <v>88</v>
      </c>
      <c r="C61" s="33"/>
      <c r="D61" s="29"/>
      <c r="E61" s="33"/>
      <c r="F61" s="32"/>
      <c r="G61" s="33"/>
      <c r="H61" s="32"/>
    </row>
    <row r="62" spans="2:8" ht="45.6" customHeight="1">
      <c r="B62" s="59" t="s">
        <v>89</v>
      </c>
      <c r="C62" s="33" t="s">
        <v>90</v>
      </c>
      <c r="D62" s="29">
        <f>2500*12*6</f>
        <v>180000</v>
      </c>
      <c r="E62" s="33" t="s">
        <v>90</v>
      </c>
      <c r="F62" s="32">
        <f>2500*12*6</f>
        <v>180000</v>
      </c>
      <c r="G62" s="33" t="s">
        <v>90</v>
      </c>
      <c r="H62" s="32">
        <f>2500*12*6</f>
        <v>180000</v>
      </c>
    </row>
    <row r="63" spans="2:8">
      <c r="B63" s="63" t="s">
        <v>91</v>
      </c>
      <c r="C63" s="33"/>
      <c r="D63" s="29"/>
      <c r="E63" s="33"/>
      <c r="F63" s="32"/>
      <c r="G63" s="33"/>
      <c r="H63" s="32"/>
    </row>
    <row r="64" spans="2:8">
      <c r="B64" s="59" t="s">
        <v>92</v>
      </c>
      <c r="C64" s="33" t="s">
        <v>41</v>
      </c>
      <c r="D64" s="29">
        <v>1500000</v>
      </c>
      <c r="E64" s="33" t="s">
        <v>41</v>
      </c>
      <c r="F64" s="29">
        <f>1500000*1.1</f>
        <v>1650000.0000000002</v>
      </c>
      <c r="G64" s="33" t="s">
        <v>41</v>
      </c>
      <c r="H64" s="32">
        <f>1500000*1.1</f>
        <v>1650000.0000000002</v>
      </c>
    </row>
    <row r="65" spans="2:8">
      <c r="B65" s="63" t="s">
        <v>93</v>
      </c>
      <c r="C65" s="33"/>
      <c r="D65" s="29"/>
      <c r="E65" s="33"/>
      <c r="F65" s="32"/>
      <c r="G65" s="33"/>
      <c r="H65" s="32"/>
    </row>
    <row r="66" spans="2:8" ht="33">
      <c r="B66" s="59" t="s">
        <v>94</v>
      </c>
      <c r="C66" s="33" t="s">
        <v>41</v>
      </c>
      <c r="D66" s="29">
        <v>1800000</v>
      </c>
      <c r="E66" s="33" t="s">
        <v>41</v>
      </c>
      <c r="F66" s="32">
        <v>1800000</v>
      </c>
      <c r="G66" s="33" t="s">
        <v>41</v>
      </c>
      <c r="H66" s="32">
        <v>1800000</v>
      </c>
    </row>
    <row r="67" spans="2:8" ht="33">
      <c r="B67" s="59" t="s">
        <v>95</v>
      </c>
      <c r="C67" s="33"/>
      <c r="D67" s="29"/>
      <c r="E67" s="33"/>
      <c r="F67" s="32"/>
      <c r="G67" s="33"/>
      <c r="H67" s="32"/>
    </row>
    <row r="68" spans="2:8">
      <c r="B68" s="65" t="s">
        <v>96</v>
      </c>
      <c r="C68" s="33"/>
      <c r="D68" s="29"/>
      <c r="E68" s="33"/>
      <c r="F68" s="32"/>
      <c r="G68" s="33"/>
      <c r="H68" s="32"/>
    </row>
    <row r="69" spans="2:8">
      <c r="B69" s="70" t="s">
        <v>97</v>
      </c>
      <c r="C69" s="33" t="s">
        <v>41</v>
      </c>
      <c r="D69" s="29">
        <v>1400000</v>
      </c>
      <c r="E69" s="33" t="s">
        <v>41</v>
      </c>
      <c r="F69" s="32">
        <v>1400000</v>
      </c>
      <c r="G69" s="33" t="s">
        <v>41</v>
      </c>
      <c r="H69" s="32">
        <v>1400000</v>
      </c>
    </row>
    <row r="70" spans="2:8">
      <c r="B70" s="65" t="s">
        <v>98</v>
      </c>
      <c r="C70" s="33"/>
      <c r="D70" s="29"/>
      <c r="E70" s="33"/>
      <c r="F70" s="32"/>
      <c r="G70" s="33"/>
      <c r="H70" s="32"/>
    </row>
    <row r="71" spans="2:8" ht="28.5" customHeight="1">
      <c r="B71" s="70" t="s">
        <v>99</v>
      </c>
      <c r="C71" s="46" t="s">
        <v>100</v>
      </c>
      <c r="D71" s="47">
        <f>(5000*16)+(30000*16*12)</f>
        <v>5840000</v>
      </c>
      <c r="E71" s="46" t="s">
        <v>100</v>
      </c>
      <c r="F71" s="45">
        <f>(5000*16)+(30000*16*12)</f>
        <v>5840000</v>
      </c>
      <c r="G71" s="46" t="s">
        <v>100</v>
      </c>
      <c r="H71" s="45">
        <f>(5000*16)+(30000*16*12)</f>
        <v>5840000</v>
      </c>
    </row>
    <row r="72" spans="2:8">
      <c r="B72" s="65" t="s">
        <v>101</v>
      </c>
      <c r="C72" s="33"/>
      <c r="D72" s="29"/>
      <c r="E72" s="33"/>
      <c r="F72" s="32"/>
      <c r="G72" s="33"/>
      <c r="H72" s="32"/>
    </row>
    <row r="73" spans="2:8" ht="30" customHeight="1">
      <c r="B73" s="70" t="s">
        <v>99</v>
      </c>
      <c r="C73" s="46" t="s">
        <v>102</v>
      </c>
      <c r="D73" s="47">
        <f>(10000*35*12)</f>
        <v>4200000</v>
      </c>
      <c r="E73" s="46" t="s">
        <v>102</v>
      </c>
      <c r="F73" s="45">
        <f>(10000*35*12)</f>
        <v>4200000</v>
      </c>
      <c r="G73" s="46" t="s">
        <v>102</v>
      </c>
      <c r="H73" s="45">
        <f>(10000*35*12)</f>
        <v>4200000</v>
      </c>
    </row>
    <row r="74" spans="2:8" ht="33">
      <c r="B74" s="59" t="s">
        <v>103</v>
      </c>
      <c r="C74" s="33" t="s">
        <v>104</v>
      </c>
      <c r="D74" s="29">
        <f>(30000*12)</f>
        <v>360000</v>
      </c>
      <c r="E74" s="33" t="s">
        <v>104</v>
      </c>
      <c r="F74" s="32">
        <f>(30000*12)*1.1</f>
        <v>396000.00000000006</v>
      </c>
      <c r="G74" s="33" t="s">
        <v>104</v>
      </c>
      <c r="H74" s="32">
        <f>(30000*12)*1.1</f>
        <v>396000.00000000006</v>
      </c>
    </row>
    <row r="75" spans="2:8" ht="31.5" customHeight="1">
      <c r="B75" s="59" t="s">
        <v>105</v>
      </c>
      <c r="C75" s="33" t="s">
        <v>100</v>
      </c>
      <c r="D75" s="29">
        <f>(30000*16*12)</f>
        <v>5760000</v>
      </c>
      <c r="E75" s="33" t="s">
        <v>100</v>
      </c>
      <c r="F75" s="32">
        <f>(30000*16*12)*1.1</f>
        <v>6336000.0000000009</v>
      </c>
      <c r="G75" s="33" t="s">
        <v>100</v>
      </c>
      <c r="H75" s="32">
        <f>(30000*16*12)*1.1</f>
        <v>6336000.0000000009</v>
      </c>
    </row>
    <row r="76" spans="2:8" ht="33">
      <c r="B76" s="59" t="s">
        <v>106</v>
      </c>
      <c r="C76" s="33"/>
      <c r="D76" s="29"/>
      <c r="E76" s="33"/>
      <c r="F76" s="32"/>
      <c r="G76" s="33"/>
      <c r="H76" s="32"/>
    </row>
    <row r="77" spans="2:8">
      <c r="B77" s="65" t="s">
        <v>107</v>
      </c>
      <c r="C77" s="33"/>
      <c r="D77" s="29"/>
      <c r="E77" s="33"/>
      <c r="F77" s="32"/>
      <c r="G77" s="33"/>
      <c r="H77" s="32"/>
    </row>
    <row r="78" spans="2:8">
      <c r="B78" s="70" t="s">
        <v>108</v>
      </c>
      <c r="C78" s="33" t="s">
        <v>100</v>
      </c>
      <c r="D78" s="29">
        <f>(56000*16*12)</f>
        <v>10752000</v>
      </c>
      <c r="E78" s="33" t="s">
        <v>100</v>
      </c>
      <c r="F78" s="32">
        <f>(56000*16*12)</f>
        <v>10752000</v>
      </c>
      <c r="G78" s="33" t="s">
        <v>100</v>
      </c>
      <c r="H78" s="32">
        <f>(56000*16*12)</f>
        <v>10752000</v>
      </c>
    </row>
    <row r="79" spans="2:8">
      <c r="B79" s="65" t="s">
        <v>109</v>
      </c>
      <c r="C79" s="33"/>
      <c r="D79" s="29"/>
      <c r="E79" s="33"/>
      <c r="F79" s="32"/>
      <c r="G79" s="33"/>
      <c r="H79" s="32"/>
    </row>
    <row r="80" spans="2:8">
      <c r="B80" s="70" t="s">
        <v>108</v>
      </c>
      <c r="C80" s="33" t="s">
        <v>110</v>
      </c>
      <c r="D80" s="29">
        <f>(56000*28*12)</f>
        <v>18816000</v>
      </c>
      <c r="E80" s="33" t="s">
        <v>110</v>
      </c>
      <c r="F80" s="32">
        <f>(56000*28*12)</f>
        <v>18816000</v>
      </c>
      <c r="G80" s="33" t="s">
        <v>110</v>
      </c>
      <c r="H80" s="32">
        <f>(56000*28*12)</f>
        <v>18816000</v>
      </c>
    </row>
    <row r="81" spans="2:8">
      <c r="B81" s="62" t="s">
        <v>111</v>
      </c>
      <c r="C81" s="33"/>
      <c r="D81" s="29"/>
      <c r="E81" s="33"/>
      <c r="F81" s="32"/>
      <c r="G81" s="33"/>
      <c r="H81" s="32"/>
    </row>
    <row r="82" spans="2:8" ht="27" customHeight="1">
      <c r="B82" s="63" t="s">
        <v>112</v>
      </c>
      <c r="C82" s="33" t="s">
        <v>102</v>
      </c>
      <c r="D82" s="29">
        <f>(33387*12*1.2*32)+(44148*12*1.2*3)</f>
        <v>17291923.199999999</v>
      </c>
      <c r="E82" s="33" t="s">
        <v>102</v>
      </c>
      <c r="F82" s="32">
        <f>(33387*12*1.2*32)+(44148*12*1.2*3)</f>
        <v>17291923.199999999</v>
      </c>
      <c r="G82" s="33" t="s">
        <v>102</v>
      </c>
      <c r="H82" s="32">
        <f>(33387*12*1.2*32)+(44148*12*1.2*3)</f>
        <v>17291923.199999999</v>
      </c>
    </row>
    <row r="83" spans="2:8">
      <c r="B83" s="63" t="s">
        <v>113</v>
      </c>
      <c r="C83" s="33" t="s">
        <v>114</v>
      </c>
      <c r="D83" s="29">
        <f>(33387*6*1.2)+(44148*12*1.2*3)</f>
        <v>2147580</v>
      </c>
      <c r="E83" s="33" t="s">
        <v>114</v>
      </c>
      <c r="F83" s="32">
        <f>(33387*6*1.2)+(44148*12*1.2*3)</f>
        <v>2147580</v>
      </c>
      <c r="G83" s="33" t="s">
        <v>114</v>
      </c>
      <c r="H83" s="32">
        <f>(33387*6*1.2)+(44148*12*1.2*3)</f>
        <v>2147580</v>
      </c>
    </row>
    <row r="84" spans="2:8" ht="19.5" customHeight="1">
      <c r="B84" s="68" t="s">
        <v>115</v>
      </c>
      <c r="C84" s="48" t="s">
        <v>54</v>
      </c>
      <c r="D84" s="44">
        <f>61916*1.2*12*10</f>
        <v>8915904</v>
      </c>
      <c r="E84" s="48" t="s">
        <v>54</v>
      </c>
      <c r="F84" s="49">
        <v>8915904</v>
      </c>
      <c r="G84" s="48" t="s">
        <v>54</v>
      </c>
      <c r="H84" s="49">
        <v>8915904</v>
      </c>
    </row>
    <row r="85" spans="2:8">
      <c r="B85" s="63" t="s">
        <v>116</v>
      </c>
      <c r="C85" s="33" t="s">
        <v>104</v>
      </c>
      <c r="D85" s="29">
        <v>1541116.7999999998</v>
      </c>
      <c r="E85" s="33" t="s">
        <v>104</v>
      </c>
      <c r="F85" s="32">
        <v>1541116.7999999998</v>
      </c>
      <c r="G85" s="33" t="s">
        <v>104</v>
      </c>
      <c r="H85" s="32">
        <v>1541116.7999999998</v>
      </c>
    </row>
    <row r="86" spans="2:8" ht="23.1" customHeight="1">
      <c r="B86" s="63" t="s">
        <v>117</v>
      </c>
      <c r="C86" s="46" t="s">
        <v>104</v>
      </c>
      <c r="D86" s="29">
        <f>51877*12*1.2</f>
        <v>747028.79999999993</v>
      </c>
      <c r="E86" s="46" t="s">
        <v>104</v>
      </c>
      <c r="F86" s="32">
        <v>747028.79999999993</v>
      </c>
      <c r="G86" s="46" t="s">
        <v>104</v>
      </c>
      <c r="H86" s="32">
        <v>747028.79999999993</v>
      </c>
    </row>
    <row r="87" spans="2:8">
      <c r="B87" s="63" t="s">
        <v>118</v>
      </c>
      <c r="C87" s="33" t="s">
        <v>104</v>
      </c>
      <c r="D87" s="29">
        <f>61916*1.2*12</f>
        <v>891590.39999999991</v>
      </c>
      <c r="E87" s="33" t="s">
        <v>104</v>
      </c>
      <c r="F87" s="32">
        <v>891590.39999999991</v>
      </c>
      <c r="G87" s="33" t="s">
        <v>104</v>
      </c>
      <c r="H87" s="32">
        <v>891590.39999999991</v>
      </c>
    </row>
    <row r="88" spans="2:8">
      <c r="B88" s="63" t="s">
        <v>119</v>
      </c>
      <c r="C88" s="33" t="s">
        <v>104</v>
      </c>
      <c r="D88" s="29">
        <f>(35560*12*1.2)</f>
        <v>512064</v>
      </c>
      <c r="E88" s="33" t="s">
        <v>104</v>
      </c>
      <c r="F88" s="32">
        <f>(35560*12*1.2)</f>
        <v>512064</v>
      </c>
      <c r="G88" s="33" t="s">
        <v>104</v>
      </c>
      <c r="H88" s="32">
        <f>(35560*12*1.2)</f>
        <v>512064</v>
      </c>
    </row>
    <row r="89" spans="2:8">
      <c r="B89" s="63" t="s">
        <v>120</v>
      </c>
      <c r="C89" s="33" t="s">
        <v>104</v>
      </c>
      <c r="D89" s="29">
        <f>47829*1.2*12</f>
        <v>688737.6</v>
      </c>
      <c r="E89" s="33" t="s">
        <v>104</v>
      </c>
      <c r="F89" s="32">
        <f>47829*1.2*12</f>
        <v>688737.6</v>
      </c>
      <c r="G89" s="33" t="s">
        <v>104</v>
      </c>
      <c r="H89" s="32">
        <f>47829*1.2*12</f>
        <v>688737.6</v>
      </c>
    </row>
    <row r="90" spans="2:8" ht="33">
      <c r="B90" s="62" t="s">
        <v>121</v>
      </c>
      <c r="C90" s="33"/>
      <c r="D90" s="29"/>
      <c r="E90" s="33"/>
      <c r="F90" s="32"/>
      <c r="G90" s="33"/>
      <c r="H90" s="32"/>
    </row>
    <row r="91" spans="2:8">
      <c r="B91" s="63" t="s">
        <v>39</v>
      </c>
      <c r="C91" s="33"/>
      <c r="D91" s="29"/>
      <c r="E91" s="33"/>
      <c r="F91" s="32"/>
      <c r="G91" s="33"/>
      <c r="H91" s="32"/>
    </row>
    <row r="92" spans="2:8">
      <c r="B92" s="59" t="s">
        <v>44</v>
      </c>
      <c r="C92" s="33"/>
      <c r="D92" s="29"/>
      <c r="E92" s="33" t="s">
        <v>41</v>
      </c>
      <c r="F92" s="32">
        <f>(212145000*0.15)</f>
        <v>31821750</v>
      </c>
      <c r="G92" s="33" t="s">
        <v>41</v>
      </c>
      <c r="H92" s="32">
        <f>F92*1.1</f>
        <v>35003925</v>
      </c>
    </row>
    <row r="93" spans="2:8" ht="30.75" customHeight="1">
      <c r="B93" s="59" t="s">
        <v>122</v>
      </c>
      <c r="C93" s="33"/>
      <c r="D93" s="29"/>
      <c r="E93" s="33" t="s">
        <v>41</v>
      </c>
      <c r="F93" s="32">
        <f>(143700000*0.15)</f>
        <v>21555000</v>
      </c>
      <c r="G93" s="33" t="s">
        <v>41</v>
      </c>
      <c r="H93" s="32">
        <f>F93*1.1</f>
        <v>23710500.000000004</v>
      </c>
    </row>
    <row r="94" spans="2:8">
      <c r="B94" s="59" t="s">
        <v>123</v>
      </c>
      <c r="C94" s="33"/>
      <c r="D94" s="29"/>
      <c r="E94" s="33"/>
      <c r="F94" s="32"/>
      <c r="G94" s="33" t="s">
        <v>41</v>
      </c>
      <c r="H94" s="32">
        <f>(45000000*0.15)*16</f>
        <v>108000000</v>
      </c>
    </row>
    <row r="95" spans="2:8">
      <c r="B95" s="62" t="s">
        <v>124</v>
      </c>
      <c r="C95" s="33"/>
      <c r="D95" s="29"/>
      <c r="E95" s="33"/>
      <c r="F95" s="32"/>
      <c r="G95" s="33"/>
      <c r="H95" s="32"/>
    </row>
    <row r="96" spans="2:8">
      <c r="B96" s="63" t="s">
        <v>125</v>
      </c>
      <c r="C96" s="33" t="s">
        <v>41</v>
      </c>
      <c r="D96" s="29">
        <v>500000</v>
      </c>
      <c r="E96" s="33"/>
      <c r="F96" s="32"/>
      <c r="G96" s="33"/>
      <c r="H96" s="32"/>
    </row>
    <row r="97" spans="2:8" ht="18.600000000000001" customHeight="1">
      <c r="B97" s="62" t="s">
        <v>126</v>
      </c>
      <c r="C97" s="33"/>
      <c r="D97" s="29"/>
      <c r="E97" s="33"/>
      <c r="F97" s="32"/>
      <c r="G97" s="33"/>
      <c r="H97" s="32"/>
    </row>
    <row r="98" spans="2:8" ht="22.5" customHeight="1">
      <c r="B98" s="63" t="s">
        <v>127</v>
      </c>
      <c r="C98" s="33"/>
      <c r="D98" s="29"/>
      <c r="E98" s="33"/>
      <c r="F98" s="32"/>
      <c r="G98" s="33"/>
      <c r="H98" s="32"/>
    </row>
    <row r="99" spans="2:8" ht="24.6" customHeight="1">
      <c r="B99" s="59" t="s">
        <v>128</v>
      </c>
      <c r="C99" s="46" t="s">
        <v>41</v>
      </c>
      <c r="D99" s="47">
        <f>42524094</f>
        <v>42524094</v>
      </c>
      <c r="E99" s="46" t="s">
        <v>41</v>
      </c>
      <c r="F99" s="45">
        <f>42524094*1.006</f>
        <v>42779238.564000003</v>
      </c>
      <c r="G99" s="46" t="s">
        <v>41</v>
      </c>
      <c r="H99" s="45">
        <f>F99*1.006</f>
        <v>43035913.995384</v>
      </c>
    </row>
    <row r="100" spans="2:8" ht="34.5" customHeight="1">
      <c r="B100" s="59" t="s">
        <v>129</v>
      </c>
      <c r="C100" s="46" t="s">
        <v>41</v>
      </c>
      <c r="D100" s="47">
        <f>19800000</f>
        <v>19800000</v>
      </c>
      <c r="E100" s="46"/>
      <c r="F100" s="45"/>
      <c r="G100" s="46"/>
      <c r="H100" s="45"/>
    </row>
    <row r="101" spans="2:8" ht="29.1" customHeight="1">
      <c r="B101" s="59" t="s">
        <v>130</v>
      </c>
      <c r="C101" s="46" t="s">
        <v>41</v>
      </c>
      <c r="D101" s="76">
        <f>1050000+4800000</f>
        <v>5850000</v>
      </c>
      <c r="E101" s="46"/>
      <c r="F101" s="54"/>
      <c r="G101" s="46"/>
      <c r="H101" s="54"/>
    </row>
    <row r="102" spans="2:8" ht="29.1" customHeight="1">
      <c r="B102" s="59" t="s">
        <v>131</v>
      </c>
      <c r="C102" s="46" t="s">
        <v>41</v>
      </c>
      <c r="D102" s="47">
        <f>6300000+255000</f>
        <v>6555000</v>
      </c>
      <c r="E102" s="46"/>
      <c r="F102" s="45"/>
      <c r="G102" s="46"/>
      <c r="H102" s="45"/>
    </row>
    <row r="103" spans="2:8" ht="29.1" customHeight="1">
      <c r="B103" s="59" t="s">
        <v>132</v>
      </c>
      <c r="C103" s="46" t="s">
        <v>41</v>
      </c>
      <c r="D103" s="47">
        <f>330000+180000+750000+700000</f>
        <v>1960000</v>
      </c>
      <c r="E103" s="46"/>
      <c r="F103" s="45"/>
      <c r="G103" s="46"/>
      <c r="H103" s="45"/>
    </row>
    <row r="104" spans="2:8" ht="29.1" customHeight="1">
      <c r="B104" s="59" t="s">
        <v>133</v>
      </c>
      <c r="C104" s="46" t="s">
        <v>41</v>
      </c>
      <c r="D104" s="47">
        <f>2400000+432000+963000</f>
        <v>3795000</v>
      </c>
      <c r="E104" s="46"/>
      <c r="F104" s="45"/>
      <c r="G104" s="46"/>
      <c r="H104" s="45"/>
    </row>
    <row r="105" spans="2:8" ht="29.1" customHeight="1">
      <c r="B105" s="59" t="s">
        <v>134</v>
      </c>
      <c r="C105" s="46" t="s">
        <v>41</v>
      </c>
      <c r="D105" s="47">
        <f>864000</f>
        <v>864000</v>
      </c>
      <c r="E105" s="46"/>
      <c r="F105" s="45"/>
      <c r="G105" s="46"/>
      <c r="H105" s="45"/>
    </row>
    <row r="106" spans="2:8" ht="37.5" customHeight="1">
      <c r="B106" s="59" t="s">
        <v>135</v>
      </c>
      <c r="C106" s="46" t="s">
        <v>41</v>
      </c>
      <c r="D106" s="47">
        <v>2000000</v>
      </c>
      <c r="E106" s="46" t="s">
        <v>41</v>
      </c>
      <c r="F106" s="45">
        <v>2000000</v>
      </c>
      <c r="G106" s="46" t="s">
        <v>41</v>
      </c>
      <c r="H106" s="45">
        <v>2000000</v>
      </c>
    </row>
    <row r="107" spans="2:8" ht="28.5" customHeight="1">
      <c r="B107" s="59" t="s">
        <v>136</v>
      </c>
      <c r="C107" s="33"/>
      <c r="D107" s="29"/>
      <c r="E107" s="33"/>
      <c r="F107" s="32"/>
      <c r="G107" s="33"/>
      <c r="H107" s="32"/>
    </row>
    <row r="108" spans="2:8" ht="13.5" customHeight="1">
      <c r="B108" s="65" t="s">
        <v>137</v>
      </c>
      <c r="C108" s="33" t="s">
        <v>41</v>
      </c>
      <c r="D108" s="29">
        <v>8000000</v>
      </c>
      <c r="E108" s="33" t="s">
        <v>41</v>
      </c>
      <c r="F108" s="32">
        <v>20000000</v>
      </c>
      <c r="G108" s="33"/>
      <c r="H108" s="32"/>
    </row>
    <row r="109" spans="2:8" ht="13.5" customHeight="1">
      <c r="B109" s="65" t="s">
        <v>107</v>
      </c>
      <c r="C109" s="33" t="s">
        <v>41</v>
      </c>
      <c r="D109" s="29">
        <v>5200000</v>
      </c>
      <c r="E109" s="33"/>
      <c r="F109" s="32"/>
      <c r="G109" s="33"/>
      <c r="H109" s="32"/>
    </row>
    <row r="110" spans="2:8">
      <c r="B110" s="59" t="s">
        <v>138</v>
      </c>
      <c r="C110" s="39" t="s">
        <v>41</v>
      </c>
      <c r="D110" s="40">
        <v>20000000</v>
      </c>
      <c r="E110" s="39" t="s">
        <v>41</v>
      </c>
      <c r="F110" s="55">
        <v>60000000</v>
      </c>
      <c r="G110" s="39"/>
      <c r="H110" s="55"/>
    </row>
    <row r="111" spans="2:8">
      <c r="B111" s="59" t="s">
        <v>139</v>
      </c>
      <c r="C111" s="33"/>
      <c r="D111" s="29"/>
      <c r="E111" s="39">
        <v>1400</v>
      </c>
      <c r="F111" s="55">
        <f>14000000*1.1</f>
        <v>15400000.000000002</v>
      </c>
      <c r="G111" s="33"/>
      <c r="H111" s="32"/>
    </row>
    <row r="112" spans="2:8" ht="29.1" customHeight="1">
      <c r="B112" s="59" t="s">
        <v>140</v>
      </c>
      <c r="C112" s="33" t="s">
        <v>41</v>
      </c>
      <c r="D112" s="29">
        <v>15000</v>
      </c>
      <c r="E112" s="33" t="s">
        <v>41</v>
      </c>
      <c r="F112" s="32">
        <v>15000</v>
      </c>
      <c r="G112" s="33" t="s">
        <v>41</v>
      </c>
      <c r="H112" s="32">
        <v>15000</v>
      </c>
    </row>
    <row r="113" spans="2:8" ht="29.1" customHeight="1">
      <c r="B113" s="59" t="s">
        <v>141</v>
      </c>
      <c r="C113" s="33" t="s">
        <v>41</v>
      </c>
      <c r="D113" s="29">
        <v>6000000</v>
      </c>
      <c r="E113" s="33" t="s">
        <v>41</v>
      </c>
      <c r="F113" s="32">
        <v>6000000</v>
      </c>
      <c r="G113" s="33" t="s">
        <v>41</v>
      </c>
      <c r="H113" s="32">
        <v>6000000</v>
      </c>
    </row>
    <row r="114" spans="2:8" ht="29.1" customHeight="1">
      <c r="B114" s="59" t="s">
        <v>142</v>
      </c>
      <c r="C114" s="46" t="s">
        <v>41</v>
      </c>
      <c r="D114" s="47">
        <v>4500000</v>
      </c>
      <c r="E114" s="46" t="s">
        <v>41</v>
      </c>
      <c r="F114" s="45">
        <v>4500000</v>
      </c>
      <c r="G114" s="46" t="s">
        <v>41</v>
      </c>
      <c r="H114" s="45">
        <v>4500000</v>
      </c>
    </row>
    <row r="115" spans="2:8" ht="29.1" customHeight="1">
      <c r="B115" s="59" t="s">
        <v>143</v>
      </c>
      <c r="C115" s="46" t="s">
        <v>41</v>
      </c>
      <c r="D115" s="47">
        <f>2205000*1.1</f>
        <v>2425500</v>
      </c>
      <c r="E115" s="46" t="s">
        <v>41</v>
      </c>
      <c r="F115" s="45">
        <f>2409000*1.1</f>
        <v>2649900</v>
      </c>
      <c r="G115" s="46" t="s">
        <v>41</v>
      </c>
      <c r="H115" s="45">
        <f>2614000*1.1</f>
        <v>2875400</v>
      </c>
    </row>
    <row r="116" spans="2:8">
      <c r="B116" s="71" t="s">
        <v>144</v>
      </c>
      <c r="C116" s="46" t="s">
        <v>41</v>
      </c>
      <c r="D116" s="47">
        <v>300000</v>
      </c>
      <c r="E116" s="46"/>
      <c r="F116" s="45"/>
      <c r="G116" s="46"/>
      <c r="H116" s="45"/>
    </row>
    <row r="117" spans="2:8">
      <c r="B117" s="71" t="s">
        <v>145</v>
      </c>
      <c r="C117" s="46" t="s">
        <v>41</v>
      </c>
      <c r="D117" s="47">
        <f>(15*150*12*5*60)+(15*85000)</f>
        <v>9375000</v>
      </c>
      <c r="E117" s="46"/>
      <c r="F117" s="45"/>
      <c r="G117" s="46"/>
      <c r="H117" s="45"/>
    </row>
    <row r="118" spans="2:8" ht="33">
      <c r="B118" s="59" t="s">
        <v>146</v>
      </c>
      <c r="C118" s="46"/>
      <c r="D118" s="47"/>
      <c r="E118" s="46" t="s">
        <v>41</v>
      </c>
      <c r="F118" s="45">
        <v>900000</v>
      </c>
      <c r="G118" s="46"/>
      <c r="H118" s="45"/>
    </row>
    <row r="119" spans="2:8">
      <c r="B119" s="59" t="s">
        <v>147</v>
      </c>
      <c r="C119" s="52"/>
      <c r="D119" s="77"/>
      <c r="E119" s="52">
        <v>1</v>
      </c>
      <c r="F119" s="57">
        <f>12000000*1.1</f>
        <v>13200000.000000002</v>
      </c>
      <c r="G119" s="52">
        <v>1</v>
      </c>
      <c r="H119" s="57">
        <f>F119*1.1</f>
        <v>14520000.000000004</v>
      </c>
    </row>
    <row r="120" spans="2:8">
      <c r="B120" s="59" t="s">
        <v>148</v>
      </c>
      <c r="C120" s="52"/>
      <c r="D120" s="77"/>
      <c r="E120" s="52">
        <v>1</v>
      </c>
      <c r="F120" s="57">
        <f>8000000*1.1</f>
        <v>8800000</v>
      </c>
      <c r="G120" s="52">
        <v>1</v>
      </c>
      <c r="H120" s="57">
        <f t="shared" ref="H120:H123" si="0">F120*1.1</f>
        <v>9680000</v>
      </c>
    </row>
    <row r="121" spans="2:8">
      <c r="B121" s="59" t="s">
        <v>149</v>
      </c>
      <c r="C121" s="52"/>
      <c r="D121" s="77"/>
      <c r="E121" s="52">
        <v>1</v>
      </c>
      <c r="F121" s="57">
        <f>7000000*1.1</f>
        <v>7700000.0000000009</v>
      </c>
      <c r="G121" s="52">
        <v>1</v>
      </c>
      <c r="H121" s="57">
        <f t="shared" si="0"/>
        <v>8470000.0000000019</v>
      </c>
    </row>
    <row r="122" spans="2:8">
      <c r="B122" s="59" t="s">
        <v>150</v>
      </c>
      <c r="C122" s="52"/>
      <c r="D122" s="77"/>
      <c r="E122" s="52">
        <v>1</v>
      </c>
      <c r="F122" s="57">
        <f>4000000*1.1</f>
        <v>4400000</v>
      </c>
      <c r="G122" s="52">
        <v>1</v>
      </c>
      <c r="H122" s="57">
        <f t="shared" si="0"/>
        <v>4840000</v>
      </c>
    </row>
    <row r="123" spans="2:8">
      <c r="B123" s="59" t="s">
        <v>151</v>
      </c>
      <c r="C123" s="52"/>
      <c r="D123" s="57"/>
      <c r="E123" s="52">
        <v>1</v>
      </c>
      <c r="F123" s="57">
        <f>12000000*1.1</f>
        <v>13200000.000000002</v>
      </c>
      <c r="G123" s="52">
        <v>1</v>
      </c>
      <c r="H123" s="57">
        <f t="shared" si="0"/>
        <v>14520000.000000004</v>
      </c>
    </row>
    <row r="124" spans="2:8" ht="27.6" customHeight="1">
      <c r="B124" s="66" t="s">
        <v>152</v>
      </c>
      <c r="C124" s="39"/>
      <c r="D124" s="32"/>
      <c r="E124" s="39">
        <v>10</v>
      </c>
      <c r="F124" s="32">
        <v>2000000</v>
      </c>
      <c r="G124" s="39">
        <v>10</v>
      </c>
      <c r="H124" s="32">
        <v>2000000</v>
      </c>
    </row>
    <row r="125" spans="2:8" ht="33">
      <c r="B125" s="59" t="s">
        <v>153</v>
      </c>
      <c r="C125" s="33" t="s">
        <v>41</v>
      </c>
      <c r="D125" s="32">
        <v>8928000</v>
      </c>
      <c r="E125" s="33"/>
      <c r="F125" s="32"/>
      <c r="G125" s="33"/>
      <c r="H125" s="32"/>
    </row>
    <row r="126" spans="2:8" ht="33">
      <c r="B126" s="59" t="s">
        <v>154</v>
      </c>
      <c r="C126" s="33"/>
      <c r="D126" s="29"/>
      <c r="E126" s="33" t="s">
        <v>41</v>
      </c>
      <c r="F126" s="32">
        <v>10000000</v>
      </c>
      <c r="G126" s="33" t="s">
        <v>41</v>
      </c>
      <c r="H126" s="32">
        <v>10000000</v>
      </c>
    </row>
    <row r="127" spans="2:8">
      <c r="B127" s="86" t="s">
        <v>155</v>
      </c>
      <c r="C127" s="87" t="s">
        <v>41</v>
      </c>
      <c r="D127" s="88">
        <v>792000</v>
      </c>
      <c r="E127" s="87" t="s">
        <v>41</v>
      </c>
      <c r="F127" s="88">
        <f>792000*1.1</f>
        <v>871200.00000000012</v>
      </c>
      <c r="G127" s="87" t="s">
        <v>41</v>
      </c>
      <c r="H127" s="88">
        <f>871200*1.1</f>
        <v>958320.00000000012</v>
      </c>
    </row>
    <row r="128" spans="2:8" ht="51.75">
      <c r="B128" s="83" t="s">
        <v>156</v>
      </c>
      <c r="C128" s="50"/>
      <c r="D128" s="38">
        <f>SUM(D129:D136)</f>
        <v>15476150.399999999</v>
      </c>
      <c r="E128" s="50"/>
      <c r="F128" s="38">
        <f>SUM(F129:F136)</f>
        <v>15476150.399999999</v>
      </c>
      <c r="G128" s="50"/>
      <c r="H128" s="51">
        <f>SUM(H129:H136)</f>
        <v>15476150.399999999</v>
      </c>
    </row>
    <row r="129" spans="2:8" s="56" customFormat="1" ht="34.5">
      <c r="B129" s="64" t="s">
        <v>12</v>
      </c>
      <c r="C129" s="33"/>
      <c r="D129" s="29"/>
      <c r="E129" s="33"/>
      <c r="F129" s="32"/>
      <c r="G129" s="33"/>
      <c r="H129" s="32"/>
    </row>
    <row r="130" spans="2:8">
      <c r="B130" s="72" t="s">
        <v>157</v>
      </c>
      <c r="C130" s="33"/>
      <c r="D130" s="29"/>
      <c r="E130" s="33"/>
      <c r="F130" s="32"/>
      <c r="G130" s="33"/>
      <c r="H130" s="32"/>
    </row>
    <row r="131" spans="2:8">
      <c r="B131" s="73" t="s">
        <v>158</v>
      </c>
      <c r="C131" s="33" t="s">
        <v>41</v>
      </c>
      <c r="D131" s="29">
        <f>(3000000)+(15*50000)</f>
        <v>3750000</v>
      </c>
      <c r="E131" s="33" t="s">
        <v>41</v>
      </c>
      <c r="F131" s="32">
        <f>(3000000)+(15*50000)</f>
        <v>3750000</v>
      </c>
      <c r="G131" s="33" t="s">
        <v>41</v>
      </c>
      <c r="H131" s="32">
        <f>(3000000)+(15*50000)</f>
        <v>3750000</v>
      </c>
    </row>
    <row r="132" spans="2:8">
      <c r="B132" s="69" t="s">
        <v>159</v>
      </c>
      <c r="C132" s="33"/>
      <c r="D132" s="29"/>
      <c r="E132" s="33"/>
      <c r="F132" s="32"/>
      <c r="G132" s="33"/>
      <c r="H132" s="32"/>
    </row>
    <row r="133" spans="2:8">
      <c r="B133" s="74" t="s">
        <v>160</v>
      </c>
      <c r="C133" s="33" t="s">
        <v>47</v>
      </c>
      <c r="D133" s="29">
        <f>33387*12*1.2*4</f>
        <v>1923091.2</v>
      </c>
      <c r="E133" s="33" t="s">
        <v>47</v>
      </c>
      <c r="F133" s="32">
        <v>1923091.2</v>
      </c>
      <c r="G133" s="33" t="s">
        <v>47</v>
      </c>
      <c r="H133" s="32">
        <v>1923091.2</v>
      </c>
    </row>
    <row r="134" spans="2:8">
      <c r="B134" s="74" t="s">
        <v>161</v>
      </c>
      <c r="C134" s="33" t="s">
        <v>162</v>
      </c>
      <c r="D134" s="29">
        <f>35650*1.2*12*2</f>
        <v>1026720</v>
      </c>
      <c r="E134" s="33" t="s">
        <v>162</v>
      </c>
      <c r="F134" s="32">
        <v>1026720</v>
      </c>
      <c r="G134" s="33" t="s">
        <v>162</v>
      </c>
      <c r="H134" s="32">
        <v>1026720</v>
      </c>
    </row>
    <row r="135" spans="2:8">
      <c r="B135" s="74" t="s">
        <v>163</v>
      </c>
      <c r="C135" s="33" t="s">
        <v>104</v>
      </c>
      <c r="D135" s="29">
        <f>47829*12*1.2</f>
        <v>688737.6</v>
      </c>
      <c r="E135" s="33" t="s">
        <v>104</v>
      </c>
      <c r="F135" s="32">
        <v>688737.6</v>
      </c>
      <c r="G135" s="33" t="s">
        <v>104</v>
      </c>
      <c r="H135" s="32">
        <v>688737.6</v>
      </c>
    </row>
    <row r="136" spans="2:8" s="56" customFormat="1" ht="17.25" thickBot="1">
      <c r="B136" s="74" t="s">
        <v>164</v>
      </c>
      <c r="C136" s="33" t="s">
        <v>165</v>
      </c>
      <c r="D136" s="29">
        <f>(56332*12*1.2)+(35650*12*1.2)+(2*20474*12*1.2)+(35650*1.2*12)+(35650*1.2*12)+(47829*12*1.2)+(61916*12*1.2*5)</f>
        <v>8087601.5999999996</v>
      </c>
      <c r="E136" s="33" t="s">
        <v>165</v>
      </c>
      <c r="F136" s="32">
        <f>(56332*12*1.2)+(35650*12*1.2)+(2*20474*12*1.2)+(35650*1.2*12)+(35650*1.2*12)+(47829*12*1.2)+(61916*12*1.2*5)</f>
        <v>8087601.5999999996</v>
      </c>
      <c r="G136" s="33" t="s">
        <v>165</v>
      </c>
      <c r="H136" s="32">
        <f>(56332*12*1.2)+(35650*12*1.2)+(2*20474*12*1.2)+(35650*1.2*12)+(35650*1.2*12)+(47829*12*1.2)+(61916*12*1.2*5)</f>
        <v>8087601.5999999996</v>
      </c>
    </row>
    <row r="137" spans="2:8" ht="18.75" thickTop="1" thickBot="1">
      <c r="B137" s="84" t="s">
        <v>166</v>
      </c>
      <c r="C137" s="26"/>
      <c r="D137" s="78">
        <f>SUM(D3,D14, D22,D43,D37, D128)</f>
        <v>352418689.19999999</v>
      </c>
      <c r="E137" s="26"/>
      <c r="F137" s="78">
        <f>SUM(F3,F14, F22,F43,F37, F128)</f>
        <v>427335734.16399997</v>
      </c>
      <c r="G137" s="26"/>
      <c r="H137" s="42">
        <f>SUM(H3,H14, H22,H43,H37, H128)</f>
        <v>558135104.595384</v>
      </c>
    </row>
    <row r="138" spans="2:8" ht="15.75" customHeight="1" thickBot="1">
      <c r="B138" s="85" t="s">
        <v>167</v>
      </c>
      <c r="C138" s="97">
        <f>D137+F137+H137</f>
        <v>1337889527.959384</v>
      </c>
      <c r="D138" s="98"/>
      <c r="E138" s="98"/>
      <c r="F138" s="98"/>
      <c r="G138" s="98"/>
      <c r="H138" s="99"/>
    </row>
    <row r="140" spans="2:8" s="30" customFormat="1" ht="16.5" customHeight="1">
      <c r="B140" s="36"/>
      <c r="C140" s="34"/>
      <c r="E140" s="37"/>
      <c r="F140" s="37"/>
      <c r="G140" s="37"/>
    </row>
    <row r="141" spans="2:8" s="30" customFormat="1" ht="16.5" customHeight="1">
      <c r="B141" s="36"/>
      <c r="C141" s="34"/>
      <c r="E141" s="37"/>
      <c r="F141" s="37"/>
      <c r="G141" s="37"/>
    </row>
  </sheetData>
  <mergeCells count="4">
    <mergeCell ref="C1:D1"/>
    <mergeCell ref="E1:F1"/>
    <mergeCell ref="G1:H1"/>
    <mergeCell ref="C138:H138"/>
  </mergeCells>
  <printOptions horizontalCentered="1" verticalCentered="1"/>
  <pageMargins left="0.39370078740157483" right="0.39370078740157483" top="1.7716535433070868" bottom="1.7716535433070868" header="0.31496062992125984" footer="0.31496062992125984"/>
  <pageSetup paperSize="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bef9f2-49fe-4927-a5eb-9835d983282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24D9AA47B3C4FBD23BE2A529C6F4F" ma:contentTypeVersion="13" ma:contentTypeDescription="Create a new document." ma:contentTypeScope="" ma:versionID="5c3563165f7cecf242c49ad8c610052b">
  <xsd:schema xmlns:xsd="http://www.w3.org/2001/XMLSchema" xmlns:xs="http://www.w3.org/2001/XMLSchema" xmlns:p="http://schemas.microsoft.com/office/2006/metadata/properties" xmlns:ns2="b2bef9f2-49fe-4927-a5eb-9835d983282f" targetNamespace="http://schemas.microsoft.com/office/2006/metadata/properties" ma:root="true" ma:fieldsID="55d8d03cd442d80cea985bff5754ab76" ns2:_="">
    <xsd:import namespace="b2bef9f2-49fe-4927-a5eb-9835d9832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ef9f2-49fe-4927-a5eb-9835d9832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E85E6E-CDF5-44F3-B498-C86FFD6DD247}"/>
</file>

<file path=customXml/itemProps2.xml><?xml version="1.0" encoding="utf-8"?>
<ds:datastoreItem xmlns:ds="http://schemas.openxmlformats.org/officeDocument/2006/customXml" ds:itemID="{86C7B42B-2572-46A9-8F4F-0340D323CFB8}"/>
</file>

<file path=customXml/itemProps3.xml><?xml version="1.0" encoding="utf-8"?>
<ds:datastoreItem xmlns:ds="http://schemas.openxmlformats.org/officeDocument/2006/customXml" ds:itemID="{F90886F1-41B1-4266-B6AE-40A7E99312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Jimson G. Sanorias</dc:creator>
  <cp:keywords/>
  <dc:description/>
  <cp:lastModifiedBy>Jasmin N. Tongol</cp:lastModifiedBy>
  <cp:revision/>
  <dcterms:created xsi:type="dcterms:W3CDTF">2023-04-12T05:55:13Z</dcterms:created>
  <dcterms:modified xsi:type="dcterms:W3CDTF">2026-03-31T03:37:09Z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b7ad4c9d-4737-4e19-9a57-fe282d8b33cc</vt:lpwstr>
  </property>
  <property fmtid="{D5CDD505-2E9C-101B-9397-08002B2CF9AE}" pid="3" name="ContentTypeId">
    <vt:lpwstr>0x0101008FC24D9AA47B3C4FBD23BE2A529C6F4F</vt:lpwstr>
  </property>
  <property fmtid="{D5CDD505-2E9C-101B-9397-08002B2CF9AE}" pid="4" name="MediaServiceImageTags">
    <vt:lpwstr/>
  </property>
</Properties>
</file>