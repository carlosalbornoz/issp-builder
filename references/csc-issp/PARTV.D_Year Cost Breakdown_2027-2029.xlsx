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phil.sharepoint.com/sites/ICTO2024-BDD/Shared Documents/BDD/ISSP/ISSP 2027 - 2029/v2/"/>
    </mc:Choice>
  </mc:AlternateContent>
  <xr:revisionPtr revIDLastSave="1238" documentId="8_{0CB5331E-029F-4C45-9D15-46EEFC45374C}" xr6:coauthVersionLast="47" xr6:coauthVersionMax="47" xr10:uidLastSave="{3A32881B-8123-4ADA-9E6F-EE67DA162413}"/>
  <bookViews>
    <workbookView xWindow="-120" yWindow="-120" windowWidth="29040" windowHeight="15720" xr2:uid="{00000000-000D-0000-FFFF-FFFF00000000}"/>
  </bookViews>
  <sheets>
    <sheet name="2027" sheetId="1" r:id="rId1"/>
    <sheet name="2028" sheetId="7" r:id="rId2"/>
    <sheet name="2029" sheetId="6" r:id="rId3"/>
  </sheets>
  <definedNames>
    <definedName name="_xlnm.Print_Titles" localSheetId="0">'2027'!$A:$A</definedName>
    <definedName name="_xlnm.Print_Titles" localSheetId="1">'2028'!$A:$A</definedName>
    <definedName name="_xlnm.Print_Titles" localSheetId="2">'2029'!$A:$A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6" l="1"/>
  <c r="F40" i="7"/>
  <c r="F40" i="1" l="1"/>
  <c r="F46" i="6" l="1"/>
  <c r="F29" i="6"/>
  <c r="F23" i="6"/>
  <c r="B16" i="7"/>
  <c r="D40" i="1"/>
  <c r="C23" i="6"/>
  <c r="C46" i="6" s="1"/>
  <c r="G46" i="6"/>
  <c r="G23" i="1"/>
  <c r="B16" i="6"/>
  <c r="F20" i="6"/>
  <c r="F18" i="6"/>
  <c r="F20" i="7"/>
  <c r="F11" i="7"/>
  <c r="C46" i="7"/>
  <c r="E46" i="1"/>
  <c r="D46" i="7" l="1"/>
  <c r="D46" i="1"/>
  <c r="E46" i="6"/>
  <c r="E46" i="7"/>
  <c r="F12" i="6"/>
  <c r="F29" i="7"/>
  <c r="F12" i="7"/>
  <c r="G46" i="7"/>
  <c r="F11" i="1"/>
  <c r="F12" i="1"/>
  <c r="G46" i="1"/>
  <c r="B14" i="1"/>
  <c r="B11" i="1"/>
  <c r="D46" i="6"/>
  <c r="F46" i="7" l="1"/>
  <c r="B46" i="6"/>
  <c r="B46" i="7"/>
  <c r="B46" i="1"/>
  <c r="F46" i="1"/>
  <c r="B48" i="1" l="1"/>
  <c r="B48" i="7"/>
  <c r="B48" i="6"/>
</calcChain>
</file>

<file path=xl/sharedStrings.xml><?xml version="1.0" encoding="utf-8"?>
<sst xmlns="http://schemas.openxmlformats.org/spreadsheetml/2006/main" count="156" uniqueCount="42">
  <si>
    <t>PART V. DEVELOPMENT AND INVESTMENT PROGRAM
D.1 YEAR 1  COST BREAKDOWN (FY 2024)</t>
  </si>
  <si>
    <t>DETAILED COST ITEMS</t>
  </si>
  <si>
    <t>CONTINUING EXPENSES</t>
  </si>
  <si>
    <t>OFFICE PRODUCTIVITY</t>
  </si>
  <si>
    <t>1. Machinery &amp; Equipment Outlay</t>
  </si>
  <si>
    <t>A. ICT Equipment</t>
  </si>
  <si>
    <t>B. Communication Equipment</t>
  </si>
  <si>
    <t>C. Printing Equipment</t>
  </si>
  <si>
    <t>D. ICT Software</t>
  </si>
  <si>
    <t>2. Infrastructure Outlay</t>
  </si>
  <si>
    <t>A. Communication Networks</t>
  </si>
  <si>
    <t>3. ICT Training</t>
  </si>
  <si>
    <t>4. ICT Supplies</t>
  </si>
  <si>
    <t>5. Semi-Expendable Machinery and Equipment Expenses</t>
  </si>
  <si>
    <t>6. Communication Expenses</t>
  </si>
  <si>
    <t>A. Telephone - Mobile</t>
  </si>
  <si>
    <t>B. Telephone - Landline</t>
  </si>
  <si>
    <t>C. Internet Subscription Expenses</t>
  </si>
  <si>
    <t>D. Cable, Satellite, Telegraph and Radio Expenses</t>
  </si>
  <si>
    <t>7. ICT Research, Exploration &amp; Development Expenses</t>
  </si>
  <si>
    <t>8. Professional Services</t>
  </si>
  <si>
    <t>A. ICT Consultancy Services</t>
  </si>
  <si>
    <t>9. Other General Services - ICT Services</t>
  </si>
  <si>
    <t>10. Repairs &amp; Maintenance - Infra Assets</t>
  </si>
  <si>
    <t>11. Repairs &amp; Maintenance - Machinery and Equipment</t>
  </si>
  <si>
    <t>12. Repairs and Maintenance - Leased Assets</t>
  </si>
  <si>
    <t>A. ICT Machinery and Equipment</t>
  </si>
  <si>
    <t xml:space="preserve">13. Repairs and Maintenance - Semi-Expendable Machinery and Equipment </t>
  </si>
  <si>
    <t>14. Rents - ICT Machinery and Equipment</t>
  </si>
  <si>
    <t>15. Subscription Expenses</t>
  </si>
  <si>
    <t>A. ICT Software Subscription</t>
  </si>
  <si>
    <t>B. Data Center Services</t>
  </si>
  <si>
    <t>C. Cloud Computing Service</t>
  </si>
  <si>
    <t>16. Other MOOE</t>
  </si>
  <si>
    <t>A. Website Maintenance</t>
  </si>
  <si>
    <t>B. Other MOOE</t>
  </si>
  <si>
    <t>TOTAL</t>
  </si>
  <si>
    <t>TOTAL COST PER YEAR</t>
  </si>
  <si>
    <t>SMART DIGITAL WORKPLACE (Phase 2)</t>
  </si>
  <si>
    <t>NEXT-GEN SECURITY OPERATIONS CENTER (SOC)</t>
  </si>
  <si>
    <t>EMERGING TECHOLOGIES</t>
  </si>
  <si>
    <t>DIGITAL TRANSFORMATION INFORMATION SYSTEM (IS)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</si>
</sst>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164" fontId="2" fillId="0" borderId="6" xfId="0" applyNumberFormat="1" applyFont="1" applyBorder="1" applyAlignment="1">
      <alignment wrapText="1"/>
    </xf>
    <xf numFmtId="164" fontId="2" fillId="0" borderId="4" xfId="0" applyNumberFormat="1" applyFont="1" applyBorder="1" applyAlignment="1">
      <alignment wrapText="1"/>
    </xf>
    <xf numFmtId="164" fontId="2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2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left" vertical="center" wrapText="1"/>
    </xf>
    <xf numFmtId="164" fontId="2" fillId="0" borderId="11" xfId="0" applyNumberFormat="1" applyFont="1" applyBorder="1" applyAlignment="1">
      <alignment wrapText="1"/>
    </xf>
    <xf numFmtId="164" fontId="2" fillId="0" borderId="10" xfId="0" applyNumberFormat="1" applyFont="1" applyBorder="1" applyAlignment="1">
      <alignment wrapText="1"/>
    </xf>
    <xf numFmtId="164" fontId="4" fillId="0" borderId="0" xfId="0" applyNumberFormat="1" applyFont="1"/>
    <xf numFmtId="0" fontId="1" fillId="0" borderId="3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5"/>
  <sheetViews>
    <sheetView tabSelected="1" topLeftCell="A3" zoomScale="110" zoomScaleNormal="110" zoomScaleSheetLayoutView="85" workbookViewId="0">
      <pane ySplit="1" topLeftCell="A27" activePane="bottomLeft" state="frozen"/>
      <selection activeCell="A3" sqref="A3"/>
      <selection pane="bottomLeft" activeCell="B48" sqref="B48"/>
    </sheetView>
  </sheetViews>
  <sheetFormatPr defaultColWidth="9.140625" defaultRowHeight="12.75" customHeight="1" x14ac:dyDescent="0.2"/>
  <cols>
    <col min="1" max="1" width="36.7109375" style="11" customWidth="1"/>
    <col min="2" max="2" width="12.85546875" style="1" bestFit="1" customWidth="1"/>
    <col min="3" max="3" width="13.42578125" style="1" customWidth="1"/>
    <col min="4" max="4" width="12.140625" style="1" customWidth="1"/>
    <col min="5" max="5" width="12" style="1" customWidth="1"/>
    <col min="6" max="6" width="12.42578125" style="1" customWidth="1"/>
    <col min="7" max="7" width="15.140625" style="1" customWidth="1"/>
    <col min="8" max="16384" width="9.140625" style="1"/>
  </cols>
  <sheetData>
    <row r="1" spans="1:7" ht="30.75" hidden="1" customHeight="1" x14ac:dyDescent="0.2">
      <c r="A1" s="19" t="s">
        <v>0</v>
      </c>
      <c r="B1" s="19"/>
      <c r="C1" s="19"/>
      <c r="D1" s="19"/>
      <c r="E1" s="20"/>
      <c r="F1" s="20"/>
      <c r="G1" s="20"/>
    </row>
    <row r="2" spans="1:7" ht="15" hidden="1" customHeight="1" x14ac:dyDescent="0.2">
      <c r="A2" s="7"/>
      <c r="B2" s="11"/>
      <c r="C2" s="11"/>
      <c r="D2" s="11"/>
      <c r="E2" s="21"/>
      <c r="F2" s="21"/>
      <c r="G2" s="21"/>
    </row>
    <row r="3" spans="1:7" ht="48.95" customHeight="1" x14ac:dyDescent="0.2">
      <c r="A3" s="8" t="s">
        <v>1</v>
      </c>
      <c r="B3" s="14" t="s">
        <v>3</v>
      </c>
      <c r="C3" s="14" t="s">
        <v>40</v>
      </c>
      <c r="D3" s="14" t="s">
        <v>39</v>
      </c>
      <c r="E3" s="14" t="s">
        <v>38</v>
      </c>
      <c r="F3" s="13" t="s">
        <v>2</v>
      </c>
      <c r="G3" s="14" t="s">
        <v>41</v>
      </c>
    </row>
    <row r="4" spans="1:7" ht="11.25" hidden="1" x14ac:dyDescent="0.2">
      <c r="A4" s="15" t="s">
        <v>4</v>
      </c>
      <c r="B4" s="16"/>
      <c r="C4" s="16"/>
      <c r="D4" s="16"/>
      <c r="E4" s="16"/>
      <c r="F4" s="17"/>
      <c r="G4" s="16"/>
    </row>
    <row r="5" spans="1:7" ht="11.25" hidden="1" x14ac:dyDescent="0.2">
      <c r="A5" s="10" t="s">
        <v>5</v>
      </c>
      <c r="B5" s="4"/>
      <c r="C5" s="4"/>
      <c r="D5" s="4"/>
      <c r="E5" s="4"/>
      <c r="F5" s="3"/>
      <c r="G5" s="4"/>
    </row>
    <row r="6" spans="1:7" ht="11.25" hidden="1" x14ac:dyDescent="0.2">
      <c r="A6" s="10" t="s">
        <v>6</v>
      </c>
      <c r="B6" s="4"/>
      <c r="C6" s="4"/>
      <c r="D6" s="4"/>
      <c r="E6" s="4"/>
      <c r="F6" s="3"/>
      <c r="G6" s="4"/>
    </row>
    <row r="7" spans="1:7" ht="11.25" hidden="1" x14ac:dyDescent="0.2">
      <c r="A7" s="10" t="s">
        <v>7</v>
      </c>
      <c r="B7" s="4"/>
      <c r="C7" s="4"/>
      <c r="D7" s="4"/>
      <c r="E7" s="4"/>
      <c r="F7" s="3"/>
      <c r="G7" s="4"/>
    </row>
    <row r="8" spans="1:7" ht="11.25" hidden="1" x14ac:dyDescent="0.2">
      <c r="A8" s="10" t="s">
        <v>8</v>
      </c>
      <c r="B8" s="4"/>
      <c r="C8" s="4"/>
      <c r="D8" s="4"/>
      <c r="E8" s="4"/>
      <c r="F8" s="3"/>
      <c r="G8" s="4"/>
    </row>
    <row r="9" spans="1:7" ht="11.25" hidden="1" x14ac:dyDescent="0.2">
      <c r="A9" s="9" t="s">
        <v>9</v>
      </c>
      <c r="B9" s="4"/>
      <c r="C9" s="4"/>
      <c r="D9" s="4"/>
      <c r="E9" s="4"/>
      <c r="F9" s="3"/>
      <c r="G9" s="4"/>
    </row>
    <row r="10" spans="1:7" ht="11.25" hidden="1" x14ac:dyDescent="0.2">
      <c r="A10" s="10" t="s">
        <v>10</v>
      </c>
      <c r="B10" s="4"/>
      <c r="C10" s="4"/>
      <c r="D10" s="4"/>
      <c r="E10" s="4"/>
      <c r="F10" s="3"/>
      <c r="G10" s="4"/>
    </row>
    <row r="11" spans="1:7" ht="11.25" hidden="1" x14ac:dyDescent="0.2">
      <c r="A11" s="9" t="s">
        <v>11</v>
      </c>
      <c r="B11" s="4">
        <f>120000</f>
        <v>120000</v>
      </c>
      <c r="C11" s="4"/>
      <c r="D11" s="4"/>
      <c r="E11" s="4"/>
      <c r="F11" s="3">
        <f>3000000+443520+480480+500000+350000</f>
        <v>4774000</v>
      </c>
      <c r="G11" s="4"/>
    </row>
    <row r="12" spans="1:7" ht="11.25" hidden="1" x14ac:dyDescent="0.2">
      <c r="A12" s="9" t="s">
        <v>12</v>
      </c>
      <c r="B12" s="4"/>
      <c r="C12" s="4"/>
      <c r="D12" s="4"/>
      <c r="E12" s="4"/>
      <c r="F12" s="3">
        <f>200000+865000</f>
        <v>1065000</v>
      </c>
      <c r="G12" s="4">
        <v>3750000</v>
      </c>
    </row>
    <row r="13" spans="1:7" ht="23.45" hidden="1" customHeight="1" x14ac:dyDescent="0.2">
      <c r="A13" s="9" t="s">
        <v>13</v>
      </c>
      <c r="B13" s="4"/>
      <c r="C13" s="4"/>
      <c r="D13" s="4"/>
      <c r="E13" s="4"/>
      <c r="F13" s="3"/>
      <c r="G13" s="4"/>
    </row>
    <row r="14" spans="1:7" ht="11.25" hidden="1" x14ac:dyDescent="0.2">
      <c r="A14" s="10" t="s">
        <v>5</v>
      </c>
      <c r="B14" s="4">
        <f>9000000</f>
        <v>9000000</v>
      </c>
      <c r="C14" s="4"/>
      <c r="D14" s="4"/>
      <c r="E14" s="4"/>
      <c r="F14" s="3"/>
      <c r="G14" s="4"/>
    </row>
    <row r="15" spans="1:7" ht="11.25" hidden="1" x14ac:dyDescent="0.2">
      <c r="A15" s="10" t="s">
        <v>6</v>
      </c>
      <c r="B15" s="4"/>
      <c r="C15" s="4"/>
      <c r="D15" s="4"/>
      <c r="E15" s="4"/>
      <c r="F15" s="3"/>
      <c r="G15" s="4"/>
    </row>
    <row r="16" spans="1:7" ht="11.25" hidden="1" x14ac:dyDescent="0.2">
      <c r="A16" s="10" t="s">
        <v>7</v>
      </c>
      <c r="B16" s="4"/>
      <c r="C16" s="4"/>
      <c r="D16" s="4"/>
      <c r="E16" s="4"/>
      <c r="F16" s="3">
        <v>500000</v>
      </c>
      <c r="G16" s="4"/>
    </row>
    <row r="17" spans="1:7" ht="11.25" hidden="1" x14ac:dyDescent="0.2">
      <c r="A17" s="9" t="s">
        <v>14</v>
      </c>
      <c r="B17" s="4"/>
      <c r="C17" s="4"/>
      <c r="D17" s="4"/>
      <c r="E17" s="4"/>
      <c r="F17" s="3"/>
      <c r="G17" s="4"/>
    </row>
    <row r="18" spans="1:7" ht="11.25" hidden="1" x14ac:dyDescent="0.2">
      <c r="A18" s="10" t="s">
        <v>15</v>
      </c>
      <c r="B18" s="4"/>
      <c r="C18" s="4"/>
      <c r="D18" s="4"/>
      <c r="E18" s="4"/>
      <c r="F18" s="3">
        <v>180000</v>
      </c>
      <c r="G18" s="4"/>
    </row>
    <row r="19" spans="1:7" ht="11.25" hidden="1" x14ac:dyDescent="0.2">
      <c r="A19" s="10" t="s">
        <v>16</v>
      </c>
      <c r="B19" s="4"/>
      <c r="C19" s="4"/>
      <c r="D19" s="4"/>
      <c r="E19" s="4"/>
      <c r="F19" s="3">
        <v>1500000</v>
      </c>
      <c r="G19" s="4"/>
    </row>
    <row r="20" spans="1:7" ht="11.25" hidden="1" x14ac:dyDescent="0.2">
      <c r="A20" s="10" t="s">
        <v>17</v>
      </c>
      <c r="B20" s="4"/>
      <c r="C20" s="4"/>
      <c r="D20" s="4"/>
      <c r="E20" s="4"/>
      <c r="F20" s="3">
        <v>48928000</v>
      </c>
      <c r="G20" s="4"/>
    </row>
    <row r="21" spans="1:7" ht="19.5" hidden="1" customHeight="1" x14ac:dyDescent="0.2">
      <c r="A21" s="10" t="s">
        <v>18</v>
      </c>
      <c r="B21" s="4"/>
      <c r="C21" s="4"/>
      <c r="D21" s="4"/>
      <c r="E21" s="4"/>
      <c r="F21" s="3"/>
      <c r="G21" s="4"/>
    </row>
    <row r="22" spans="1:7" ht="20.25" hidden="1" customHeight="1" x14ac:dyDescent="0.2">
      <c r="A22" s="9" t="s">
        <v>19</v>
      </c>
      <c r="B22" s="4"/>
      <c r="C22" s="4"/>
      <c r="D22" s="4"/>
      <c r="E22" s="4"/>
      <c r="F22" s="3"/>
      <c r="G22" s="4"/>
    </row>
    <row r="23" spans="1:7" ht="11.25" hidden="1" x14ac:dyDescent="0.2">
      <c r="A23" s="9" t="s">
        <v>20</v>
      </c>
      <c r="B23" s="4"/>
      <c r="C23" s="4"/>
      <c r="D23" s="4"/>
      <c r="E23" s="4"/>
      <c r="F23" s="3">
        <v>32735944.800000001</v>
      </c>
      <c r="G23" s="4">
        <f>11726150.4</f>
        <v>11726150.4</v>
      </c>
    </row>
    <row r="24" spans="1:7" ht="11.25" hidden="1" x14ac:dyDescent="0.2">
      <c r="A24" s="10" t="s">
        <v>21</v>
      </c>
      <c r="B24" s="4"/>
      <c r="C24" s="4"/>
      <c r="D24" s="4"/>
      <c r="E24" s="4"/>
      <c r="F24" s="3"/>
      <c r="G24" s="4"/>
    </row>
    <row r="25" spans="1:7" ht="12" hidden="1" customHeight="1" x14ac:dyDescent="0.2">
      <c r="A25" s="9" t="s">
        <v>22</v>
      </c>
      <c r="B25" s="4"/>
      <c r="C25" s="4"/>
      <c r="D25" s="4"/>
      <c r="E25" s="4"/>
      <c r="F25" s="3"/>
      <c r="G25" s="4"/>
    </row>
    <row r="26" spans="1:7" ht="13.5" hidden="1" customHeight="1" x14ac:dyDescent="0.2">
      <c r="A26" s="9" t="s">
        <v>23</v>
      </c>
      <c r="B26" s="4"/>
      <c r="C26" s="4"/>
      <c r="D26" s="4"/>
      <c r="E26" s="4"/>
      <c r="F26" s="3"/>
      <c r="G26" s="4"/>
    </row>
    <row r="27" spans="1:7" ht="11.25" x14ac:dyDescent="0.2">
      <c r="A27" s="10" t="s">
        <v>10</v>
      </c>
      <c r="B27" s="4"/>
      <c r="C27" s="4"/>
      <c r="D27" s="4"/>
      <c r="E27" s="4"/>
      <c r="F27" s="3"/>
      <c r="G27" s="4"/>
    </row>
    <row r="28" spans="1:7" ht="20.100000000000001" customHeight="1" x14ac:dyDescent="0.2">
      <c r="A28" s="9" t="s">
        <v>24</v>
      </c>
      <c r="B28" s="4"/>
      <c r="C28" s="4"/>
      <c r="D28" s="4"/>
      <c r="E28" s="4"/>
      <c r="F28" s="3"/>
      <c r="G28" s="4"/>
    </row>
    <row r="29" spans="1:7" ht="11.25" x14ac:dyDescent="0.2">
      <c r="A29" s="10" t="s">
        <v>5</v>
      </c>
      <c r="B29" s="4"/>
      <c r="C29" s="4"/>
      <c r="D29" s="4"/>
      <c r="E29" s="4"/>
      <c r="F29" s="3"/>
      <c r="G29" s="4"/>
    </row>
    <row r="30" spans="1:7" ht="11.25" x14ac:dyDescent="0.2">
      <c r="A30" s="10" t="s">
        <v>6</v>
      </c>
      <c r="B30" s="4"/>
      <c r="C30" s="4"/>
      <c r="D30" s="4"/>
      <c r="E30" s="4"/>
      <c r="F30" s="3"/>
      <c r="G30" s="4"/>
    </row>
    <row r="31" spans="1:7" ht="11.25" x14ac:dyDescent="0.2">
      <c r="A31" s="10" t="s">
        <v>7</v>
      </c>
      <c r="B31" s="4"/>
      <c r="C31" s="4"/>
      <c r="D31" s="4"/>
      <c r="E31" s="4"/>
      <c r="F31" s="3"/>
      <c r="G31" s="4"/>
    </row>
    <row r="32" spans="1:7" ht="12" customHeight="1" x14ac:dyDescent="0.2">
      <c r="A32" s="9" t="s">
        <v>25</v>
      </c>
      <c r="B32" s="4"/>
      <c r="C32" s="4"/>
      <c r="D32" s="4"/>
      <c r="E32" s="4"/>
      <c r="F32" s="3"/>
      <c r="G32" s="4"/>
    </row>
    <row r="33" spans="1:7" ht="11.25" x14ac:dyDescent="0.2">
      <c r="A33" s="10" t="s">
        <v>26</v>
      </c>
      <c r="B33" s="4"/>
      <c r="C33" s="4"/>
      <c r="D33" s="4"/>
      <c r="E33" s="4"/>
      <c r="F33" s="3"/>
      <c r="G33" s="4"/>
    </row>
    <row r="34" spans="1:7" ht="23.25" customHeight="1" x14ac:dyDescent="0.2">
      <c r="A34" s="9" t="s">
        <v>27</v>
      </c>
      <c r="B34" s="4"/>
      <c r="C34" s="4"/>
      <c r="D34" s="4"/>
      <c r="E34" s="4"/>
      <c r="F34" s="3"/>
      <c r="G34" s="4"/>
    </row>
    <row r="35" spans="1:7" ht="11.25" x14ac:dyDescent="0.2">
      <c r="A35" s="10" t="s">
        <v>5</v>
      </c>
      <c r="B35" s="4"/>
      <c r="C35" s="4"/>
      <c r="D35" s="4"/>
      <c r="E35" s="4"/>
      <c r="F35" s="3"/>
      <c r="G35" s="4"/>
    </row>
    <row r="36" spans="1:7" ht="11.25" x14ac:dyDescent="0.2">
      <c r="A36" s="10" t="s">
        <v>6</v>
      </c>
      <c r="B36" s="4"/>
      <c r="C36" s="4"/>
      <c r="D36" s="4"/>
      <c r="E36" s="4"/>
      <c r="F36" s="3"/>
      <c r="G36" s="4"/>
    </row>
    <row r="37" spans="1:7" ht="11.25" x14ac:dyDescent="0.2">
      <c r="A37" s="10" t="s">
        <v>7</v>
      </c>
      <c r="B37" s="4"/>
      <c r="C37" s="4"/>
      <c r="D37" s="4"/>
      <c r="E37" s="4"/>
      <c r="F37" s="3"/>
      <c r="G37" s="4"/>
    </row>
    <row r="38" spans="1:7" ht="12" customHeight="1" x14ac:dyDescent="0.2">
      <c r="A38" s="9" t="s">
        <v>28</v>
      </c>
      <c r="B38" s="4"/>
      <c r="C38" s="4"/>
      <c r="D38" s="4"/>
      <c r="E38" s="4"/>
      <c r="F38" s="3"/>
      <c r="G38" s="4"/>
    </row>
    <row r="39" spans="1:7" ht="11.25" x14ac:dyDescent="0.2">
      <c r="A39" s="9" t="s">
        <v>29</v>
      </c>
      <c r="B39" s="4"/>
      <c r="C39" s="4"/>
      <c r="D39" s="4"/>
      <c r="E39" s="4"/>
      <c r="F39" s="3"/>
      <c r="G39" s="4"/>
    </row>
    <row r="40" spans="1:7" ht="11.25" x14ac:dyDescent="0.2">
      <c r="A40" s="10" t="s">
        <v>30</v>
      </c>
      <c r="B40" s="4"/>
      <c r="C40" s="4"/>
      <c r="D40" s="4">
        <f>12000000+8000000+7000000+4000000+12000000+15000000+2000000+5000000+2376000+11880000+10000000</f>
        <v>89256000</v>
      </c>
      <c r="E40" s="4"/>
      <c r="F40" s="3">
        <f>148091594+792000</f>
        <v>148883594</v>
      </c>
      <c r="G40" s="4"/>
    </row>
    <row r="41" spans="1:7" ht="11.25" x14ac:dyDescent="0.2">
      <c r="A41" s="10" t="s">
        <v>31</v>
      </c>
      <c r="B41" s="4"/>
      <c r="C41" s="4"/>
      <c r="D41" s="4"/>
      <c r="E41" s="4"/>
      <c r="F41" s="3"/>
      <c r="G41" s="4"/>
    </row>
    <row r="42" spans="1:7" ht="11.25" x14ac:dyDescent="0.2">
      <c r="A42" s="10" t="s">
        <v>32</v>
      </c>
      <c r="B42" s="4"/>
      <c r="C42" s="4"/>
      <c r="D42" s="4"/>
      <c r="E42" s="4"/>
      <c r="F42" s="3"/>
      <c r="G42" s="4"/>
    </row>
    <row r="43" spans="1:7" ht="11.25" x14ac:dyDescent="0.2">
      <c r="A43" s="9" t="s">
        <v>33</v>
      </c>
      <c r="B43" s="4"/>
      <c r="C43" s="4"/>
      <c r="D43" s="4"/>
      <c r="E43" s="4"/>
      <c r="F43" s="3"/>
      <c r="G43" s="4"/>
    </row>
    <row r="44" spans="1:7" ht="11.25" x14ac:dyDescent="0.2">
      <c r="A44" s="10" t="s">
        <v>34</v>
      </c>
      <c r="B44" s="4"/>
      <c r="C44" s="4"/>
      <c r="D44" s="4"/>
      <c r="E44" s="4"/>
      <c r="F44" s="3"/>
      <c r="G44" s="4"/>
    </row>
    <row r="45" spans="1:7" ht="11.25" x14ac:dyDescent="0.2">
      <c r="A45" s="10" t="s">
        <v>35</v>
      </c>
      <c r="B45" s="4"/>
      <c r="C45" s="4"/>
      <c r="D45" s="4"/>
      <c r="E45" s="4"/>
      <c r="F45" s="3"/>
      <c r="G45" s="4"/>
    </row>
    <row r="46" spans="1:7" ht="11.25" x14ac:dyDescent="0.2">
      <c r="A46" s="8" t="s">
        <v>36</v>
      </c>
      <c r="B46" s="4">
        <f>SUM(B4:B45)</f>
        <v>9120000</v>
      </c>
      <c r="C46" s="4"/>
      <c r="D46" s="4">
        <f t="shared" ref="D46:G46" si="0">SUM(D4:D45)</f>
        <v>89256000</v>
      </c>
      <c r="E46" s="4">
        <f t="shared" ref="E46" si="1">SUM(E4:E45)</f>
        <v>0</v>
      </c>
      <c r="F46" s="4">
        <f t="shared" si="0"/>
        <v>238566538.80000001</v>
      </c>
      <c r="G46" s="4">
        <f t="shared" si="0"/>
        <v>15476150.4</v>
      </c>
    </row>
    <row r="47" spans="1:7" ht="11.25" x14ac:dyDescent="0.2">
      <c r="B47" s="5"/>
      <c r="C47" s="5"/>
    </row>
    <row r="48" spans="1:7" ht="11.25" x14ac:dyDescent="0.2">
      <c r="A48" s="12" t="s">
        <v>37</v>
      </c>
      <c r="B48" s="5">
        <f>SUM(B46:G46)</f>
        <v>352418689.19999999</v>
      </c>
      <c r="C48" s="5"/>
      <c r="D48" s="6"/>
      <c r="E48" s="6"/>
      <c r="F48" s="5"/>
      <c r="G48" s="6"/>
    </row>
    <row r="50" spans="6:6" ht="11.25" x14ac:dyDescent="0.2">
      <c r="F50" s="18"/>
    </row>
    <row r="51" spans="6:6" ht="11.25" x14ac:dyDescent="0.2">
      <c r="F51" s="6"/>
    </row>
    <row r="52" spans="6:6" ht="11.25" x14ac:dyDescent="0.2">
      <c r="F52" s="5"/>
    </row>
    <row r="55" spans="6:6" ht="11.25" x14ac:dyDescent="0.2">
      <c r="F55" s="5"/>
    </row>
  </sheetData>
  <mergeCells count="2">
    <mergeCell ref="A1:G1"/>
    <mergeCell ref="E2:G2"/>
  </mergeCells>
  <pageMargins left="0.70866141732283472" right="0.70866141732283472" top="0.74803149606299213" bottom="0.74803149606299213" header="0.31496062992125984" footer="0.31496062992125984"/>
  <pageSetup paperSize="14" scale="67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4013A-7157-4268-8391-EC98672205C1}">
  <dimension ref="A1:G55"/>
  <sheetViews>
    <sheetView topLeftCell="A3" zoomScale="110" zoomScaleNormal="110" zoomScaleSheetLayoutView="85" workbookViewId="0">
      <pane ySplit="1" topLeftCell="A27" activePane="bottomLeft" state="frozen"/>
      <selection activeCell="A3" sqref="A3"/>
      <selection pane="bottomLeft" activeCell="E54" sqref="E54"/>
    </sheetView>
  </sheetViews>
  <sheetFormatPr defaultColWidth="9.140625" defaultRowHeight="12.75" customHeight="1" x14ac:dyDescent="0.2"/>
  <cols>
    <col min="1" max="1" width="36.7109375" style="11" customWidth="1"/>
    <col min="2" max="2" width="12.140625" style="1" customWidth="1"/>
    <col min="3" max="3" width="12.85546875" style="1" customWidth="1"/>
    <col min="4" max="4" width="12.5703125" style="1" customWidth="1"/>
    <col min="5" max="5" width="12" style="1" customWidth="1"/>
    <col min="6" max="6" width="12.28515625" style="1" bestFit="1" customWidth="1"/>
    <col min="7" max="7" width="15" style="1" customWidth="1"/>
    <col min="8" max="16384" width="9.140625" style="1"/>
  </cols>
  <sheetData>
    <row r="1" spans="1:7" ht="30.75" hidden="1" customHeight="1" x14ac:dyDescent="0.2">
      <c r="A1" s="19" t="s">
        <v>0</v>
      </c>
      <c r="B1" s="19"/>
      <c r="C1" s="19"/>
      <c r="D1" s="19"/>
      <c r="E1" s="20"/>
      <c r="F1" s="20"/>
      <c r="G1" s="20"/>
    </row>
    <row r="2" spans="1:7" ht="15" hidden="1" customHeight="1" x14ac:dyDescent="0.2">
      <c r="A2" s="7"/>
      <c r="B2" s="11"/>
      <c r="C2" s="11"/>
      <c r="D2" s="11"/>
      <c r="E2" s="21"/>
      <c r="F2" s="21"/>
      <c r="G2" s="21"/>
    </row>
    <row r="3" spans="1:7" ht="47.1" customHeight="1" x14ac:dyDescent="0.2">
      <c r="A3" s="8" t="s">
        <v>1</v>
      </c>
      <c r="B3" s="14" t="s">
        <v>3</v>
      </c>
      <c r="C3" s="14" t="s">
        <v>40</v>
      </c>
      <c r="D3" s="14" t="s">
        <v>39</v>
      </c>
      <c r="E3" s="14" t="s">
        <v>38</v>
      </c>
      <c r="F3" s="13" t="s">
        <v>2</v>
      </c>
      <c r="G3" s="14" t="s">
        <v>41</v>
      </c>
    </row>
    <row r="4" spans="1:7" ht="11.25" hidden="1" x14ac:dyDescent="0.2">
      <c r="A4" s="15" t="s">
        <v>4</v>
      </c>
      <c r="B4" s="16"/>
      <c r="C4" s="16"/>
      <c r="D4" s="16"/>
      <c r="E4" s="16"/>
      <c r="F4" s="17"/>
      <c r="G4" s="16"/>
    </row>
    <row r="5" spans="1:7" ht="11.25" hidden="1" x14ac:dyDescent="0.2">
      <c r="A5" s="10" t="s">
        <v>5</v>
      </c>
      <c r="B5" s="4"/>
      <c r="C5" s="4"/>
      <c r="D5" s="4"/>
      <c r="E5" s="4">
        <v>20000000</v>
      </c>
      <c r="F5" s="3"/>
      <c r="G5" s="4"/>
    </row>
    <row r="6" spans="1:7" ht="11.25" hidden="1" x14ac:dyDescent="0.2">
      <c r="A6" s="10" t="s">
        <v>6</v>
      </c>
      <c r="B6" s="4"/>
      <c r="C6" s="4"/>
      <c r="D6" s="4"/>
      <c r="E6" s="4"/>
      <c r="F6" s="3"/>
      <c r="G6" s="4"/>
    </row>
    <row r="7" spans="1:7" ht="11.25" hidden="1" x14ac:dyDescent="0.2">
      <c r="A7" s="10" t="s">
        <v>7</v>
      </c>
      <c r="B7" s="4"/>
      <c r="C7" s="4"/>
      <c r="D7" s="4"/>
      <c r="E7" s="4"/>
      <c r="F7" s="3"/>
      <c r="G7" s="4"/>
    </row>
    <row r="8" spans="1:7" ht="11.25" hidden="1" x14ac:dyDescent="0.2">
      <c r="A8" s="10" t="s">
        <v>8</v>
      </c>
      <c r="B8" s="4"/>
      <c r="C8" s="4"/>
      <c r="D8" s="4"/>
      <c r="E8" s="4"/>
      <c r="F8" s="3"/>
      <c r="G8" s="4"/>
    </row>
    <row r="9" spans="1:7" ht="11.25" hidden="1" x14ac:dyDescent="0.2">
      <c r="A9" s="9" t="s">
        <v>9</v>
      </c>
      <c r="B9" s="4"/>
      <c r="C9" s="4"/>
      <c r="D9" s="4"/>
      <c r="E9" s="4"/>
      <c r="F9" s="3"/>
      <c r="G9" s="4"/>
    </row>
    <row r="10" spans="1:7" ht="11.25" hidden="1" x14ac:dyDescent="0.2">
      <c r="A10" s="10" t="s">
        <v>10</v>
      </c>
      <c r="B10" s="4"/>
      <c r="C10" s="4"/>
      <c r="D10" s="4"/>
      <c r="E10" s="4"/>
      <c r="F10" s="3"/>
      <c r="G10" s="4"/>
    </row>
    <row r="11" spans="1:7" ht="11.25" hidden="1" x14ac:dyDescent="0.2">
      <c r="A11" s="9" t="s">
        <v>11</v>
      </c>
      <c r="B11" s="4">
        <v>120800</v>
      </c>
      <c r="C11" s="4">
        <v>500000</v>
      </c>
      <c r="D11" s="4"/>
      <c r="E11" s="4">
        <v>100000</v>
      </c>
      <c r="F11" s="3">
        <f>4498400</f>
        <v>4498400</v>
      </c>
      <c r="G11" s="4"/>
    </row>
    <row r="12" spans="1:7" ht="11.25" hidden="1" x14ac:dyDescent="0.2">
      <c r="A12" s="9" t="s">
        <v>12</v>
      </c>
      <c r="B12" s="4"/>
      <c r="C12" s="4"/>
      <c r="D12" s="4"/>
      <c r="E12" s="4"/>
      <c r="F12" s="3">
        <f>1065000</f>
        <v>1065000</v>
      </c>
      <c r="G12" s="4">
        <v>3750000</v>
      </c>
    </row>
    <row r="13" spans="1:7" ht="23.45" hidden="1" customHeight="1" x14ac:dyDescent="0.2">
      <c r="A13" s="9" t="s">
        <v>13</v>
      </c>
      <c r="B13" s="4"/>
      <c r="C13" s="4"/>
      <c r="D13" s="4"/>
      <c r="E13" s="4"/>
      <c r="F13" s="3"/>
      <c r="G13" s="4"/>
    </row>
    <row r="14" spans="1:7" ht="11.25" hidden="1" x14ac:dyDescent="0.2">
      <c r="A14" s="10" t="s">
        <v>5</v>
      </c>
      <c r="B14" s="4"/>
      <c r="C14" s="4">
        <v>20000000</v>
      </c>
      <c r="D14" s="4"/>
      <c r="E14" s="4"/>
      <c r="F14" s="3"/>
      <c r="G14" s="4"/>
    </row>
    <row r="15" spans="1:7" ht="11.25" hidden="1" x14ac:dyDescent="0.2">
      <c r="A15" s="10" t="s">
        <v>6</v>
      </c>
      <c r="B15" s="4"/>
      <c r="C15" s="4"/>
      <c r="D15" s="4"/>
      <c r="E15" s="4"/>
      <c r="F15" s="3"/>
      <c r="G15" s="4"/>
    </row>
    <row r="16" spans="1:7" ht="11.25" hidden="1" x14ac:dyDescent="0.2">
      <c r="A16" s="10" t="s">
        <v>7</v>
      </c>
      <c r="B16" s="4">
        <f>1006000+8048000</f>
        <v>9054000</v>
      </c>
      <c r="C16" s="4"/>
      <c r="D16" s="4"/>
      <c r="E16" s="4"/>
      <c r="F16" s="3"/>
      <c r="G16" s="4"/>
    </row>
    <row r="17" spans="1:7" ht="11.25" hidden="1" x14ac:dyDescent="0.2">
      <c r="A17" s="9" t="s">
        <v>14</v>
      </c>
      <c r="B17" s="4"/>
      <c r="C17" s="4"/>
      <c r="D17" s="4"/>
      <c r="E17" s="4"/>
      <c r="F17" s="3"/>
      <c r="G17" s="4"/>
    </row>
    <row r="18" spans="1:7" ht="11.25" hidden="1" x14ac:dyDescent="0.2">
      <c r="A18" s="10" t="s">
        <v>15</v>
      </c>
      <c r="B18" s="4"/>
      <c r="C18" s="4"/>
      <c r="D18" s="4"/>
      <c r="E18" s="4"/>
      <c r="F18" s="3">
        <v>180000</v>
      </c>
      <c r="G18" s="4"/>
    </row>
    <row r="19" spans="1:7" ht="11.25" hidden="1" x14ac:dyDescent="0.2">
      <c r="A19" s="10" t="s">
        <v>16</v>
      </c>
      <c r="B19" s="4"/>
      <c r="C19" s="4"/>
      <c r="D19" s="4"/>
      <c r="E19" s="4"/>
      <c r="F19" s="3"/>
      <c r="G19" s="4"/>
    </row>
    <row r="20" spans="1:7" ht="11.25" hidden="1" x14ac:dyDescent="0.2">
      <c r="A20" s="10" t="s">
        <v>17</v>
      </c>
      <c r="B20" s="4"/>
      <c r="C20" s="4"/>
      <c r="D20" s="4"/>
      <c r="E20" s="4"/>
      <c r="F20" s="3">
        <f>49540000</f>
        <v>49540000</v>
      </c>
      <c r="G20" s="4"/>
    </row>
    <row r="21" spans="1:7" ht="19.5" hidden="1" customHeight="1" x14ac:dyDescent="0.2">
      <c r="A21" s="10" t="s">
        <v>18</v>
      </c>
      <c r="B21" s="4"/>
      <c r="C21" s="4"/>
      <c r="D21" s="4"/>
      <c r="E21" s="4"/>
      <c r="F21" s="3"/>
      <c r="G21" s="4"/>
    </row>
    <row r="22" spans="1:7" ht="20.25" hidden="1" customHeight="1" x14ac:dyDescent="0.2">
      <c r="A22" s="9" t="s">
        <v>19</v>
      </c>
      <c r="B22" s="4"/>
      <c r="C22" s="4"/>
      <c r="D22" s="4"/>
      <c r="E22" s="4"/>
      <c r="F22" s="3"/>
      <c r="G22" s="4"/>
    </row>
    <row r="23" spans="1:7" ht="11.25" hidden="1" x14ac:dyDescent="0.2">
      <c r="A23" s="9" t="s">
        <v>20</v>
      </c>
      <c r="B23" s="4"/>
      <c r="C23" s="4">
        <v>4623350.4000000004</v>
      </c>
      <c r="D23" s="4"/>
      <c r="E23" s="4"/>
      <c r="F23" s="3">
        <v>32735944.800000001</v>
      </c>
      <c r="G23" s="4">
        <v>11726150.4</v>
      </c>
    </row>
    <row r="24" spans="1:7" ht="11.25" hidden="1" x14ac:dyDescent="0.2">
      <c r="A24" s="10" t="s">
        <v>21</v>
      </c>
      <c r="B24" s="4"/>
      <c r="C24" s="4"/>
      <c r="D24" s="4"/>
      <c r="E24" s="4"/>
      <c r="F24" s="3"/>
      <c r="G24" s="4"/>
    </row>
    <row r="25" spans="1:7" ht="12" hidden="1" customHeight="1" x14ac:dyDescent="0.2">
      <c r="A25" s="9" t="s">
        <v>22</v>
      </c>
      <c r="B25" s="4"/>
      <c r="C25" s="4"/>
      <c r="D25" s="4"/>
      <c r="E25" s="4"/>
      <c r="F25" s="3"/>
      <c r="G25" s="4"/>
    </row>
    <row r="26" spans="1:7" ht="13.5" hidden="1" customHeight="1" x14ac:dyDescent="0.2">
      <c r="A26" s="9" t="s">
        <v>23</v>
      </c>
      <c r="B26" s="4"/>
      <c r="C26" s="4"/>
      <c r="D26" s="4"/>
      <c r="E26" s="4"/>
      <c r="F26" s="3"/>
      <c r="G26" s="4"/>
    </row>
    <row r="27" spans="1:7" ht="11.25" x14ac:dyDescent="0.2">
      <c r="A27" s="10" t="s">
        <v>10</v>
      </c>
      <c r="B27" s="4"/>
      <c r="C27" s="4"/>
      <c r="D27" s="4"/>
      <c r="E27" s="4"/>
      <c r="F27" s="3"/>
      <c r="G27" s="4"/>
    </row>
    <row r="28" spans="1:7" ht="20.100000000000001" customHeight="1" x14ac:dyDescent="0.2">
      <c r="A28" s="9" t="s">
        <v>24</v>
      </c>
      <c r="B28" s="4"/>
      <c r="C28" s="4"/>
      <c r="D28" s="4"/>
      <c r="E28" s="4"/>
      <c r="F28" s="3"/>
      <c r="G28" s="4"/>
    </row>
    <row r="29" spans="1:7" ht="11.25" x14ac:dyDescent="0.2">
      <c r="A29" s="10" t="s">
        <v>5</v>
      </c>
      <c r="B29" s="4"/>
      <c r="C29" s="4"/>
      <c r="D29" s="4"/>
      <c r="E29" s="4"/>
      <c r="F29" s="3">
        <f>31821750+21555000</f>
        <v>53376750</v>
      </c>
      <c r="G29" s="4"/>
    </row>
    <row r="30" spans="1:7" ht="11.25" x14ac:dyDescent="0.2">
      <c r="A30" s="10" t="s">
        <v>6</v>
      </c>
      <c r="B30" s="4"/>
      <c r="C30" s="4"/>
      <c r="D30" s="4"/>
      <c r="E30" s="4"/>
      <c r="F30" s="3"/>
      <c r="G30" s="4"/>
    </row>
    <row r="31" spans="1:7" ht="11.25" x14ac:dyDescent="0.2">
      <c r="A31" s="10" t="s">
        <v>7</v>
      </c>
      <c r="B31" s="4"/>
      <c r="C31" s="4"/>
      <c r="D31" s="4"/>
      <c r="E31" s="4"/>
      <c r="F31" s="3"/>
      <c r="G31" s="4"/>
    </row>
    <row r="32" spans="1:7" ht="12" customHeight="1" x14ac:dyDescent="0.2">
      <c r="A32" s="9" t="s">
        <v>25</v>
      </c>
      <c r="B32" s="4"/>
      <c r="C32" s="4"/>
      <c r="D32" s="4"/>
      <c r="E32" s="4"/>
      <c r="F32" s="3"/>
      <c r="G32" s="4"/>
    </row>
    <row r="33" spans="1:7" ht="11.25" x14ac:dyDescent="0.2">
      <c r="A33" s="10" t="s">
        <v>26</v>
      </c>
      <c r="B33" s="4"/>
      <c r="C33" s="4"/>
      <c r="D33" s="4"/>
      <c r="E33" s="4"/>
      <c r="F33" s="3"/>
      <c r="G33" s="4"/>
    </row>
    <row r="34" spans="1:7" ht="23.25" customHeight="1" x14ac:dyDescent="0.2">
      <c r="A34" s="9" t="s">
        <v>27</v>
      </c>
      <c r="B34" s="4"/>
      <c r="C34" s="4"/>
      <c r="D34" s="4"/>
      <c r="E34" s="4"/>
      <c r="F34" s="3"/>
      <c r="G34" s="4"/>
    </row>
    <row r="35" spans="1:7" ht="11.25" x14ac:dyDescent="0.2">
      <c r="A35" s="10" t="s">
        <v>5</v>
      </c>
      <c r="B35" s="4"/>
      <c r="C35" s="4"/>
      <c r="D35" s="4"/>
      <c r="E35" s="4"/>
      <c r="F35" s="3"/>
      <c r="G35" s="4"/>
    </row>
    <row r="36" spans="1:7" ht="11.25" x14ac:dyDescent="0.2">
      <c r="A36" s="10" t="s">
        <v>6</v>
      </c>
      <c r="B36" s="4"/>
      <c r="C36" s="4"/>
      <c r="D36" s="4"/>
      <c r="E36" s="4"/>
      <c r="F36" s="3"/>
      <c r="G36" s="4"/>
    </row>
    <row r="37" spans="1:7" ht="11.25" x14ac:dyDescent="0.2">
      <c r="A37" s="10" t="s">
        <v>7</v>
      </c>
      <c r="B37" s="4"/>
      <c r="C37" s="4"/>
      <c r="D37" s="4"/>
      <c r="E37" s="4"/>
      <c r="F37" s="3"/>
      <c r="G37" s="4"/>
    </row>
    <row r="38" spans="1:7" ht="12" customHeight="1" x14ac:dyDescent="0.2">
      <c r="A38" s="9" t="s">
        <v>28</v>
      </c>
      <c r="B38" s="4"/>
      <c r="C38" s="4"/>
      <c r="D38" s="4"/>
      <c r="E38" s="4"/>
      <c r="F38" s="3"/>
      <c r="G38" s="4"/>
    </row>
    <row r="39" spans="1:7" ht="11.25" x14ac:dyDescent="0.2">
      <c r="A39" s="9" t="s">
        <v>29</v>
      </c>
      <c r="B39" s="4"/>
      <c r="C39" s="4"/>
      <c r="D39" s="4"/>
      <c r="E39" s="4"/>
      <c r="F39" s="3"/>
      <c r="G39" s="4"/>
    </row>
    <row r="40" spans="1:7" ht="11.25" x14ac:dyDescent="0.2">
      <c r="A40" s="10" t="s">
        <v>30</v>
      </c>
      <c r="B40" s="4"/>
      <c r="C40" s="4"/>
      <c r="D40" s="4"/>
      <c r="E40" s="4"/>
      <c r="F40" s="3">
        <f>213544138.56+871200+1650000</f>
        <v>216065338.56</v>
      </c>
      <c r="G40" s="4"/>
    </row>
    <row r="41" spans="1:7" ht="11.25" x14ac:dyDescent="0.2">
      <c r="A41" s="10" t="s">
        <v>31</v>
      </c>
      <c r="B41" s="4"/>
      <c r="C41" s="4"/>
      <c r="D41" s="4"/>
      <c r="E41" s="4"/>
      <c r="F41" s="3"/>
      <c r="G41" s="4"/>
    </row>
    <row r="42" spans="1:7" ht="11.25" x14ac:dyDescent="0.2">
      <c r="A42" s="10" t="s">
        <v>32</v>
      </c>
      <c r="B42" s="4"/>
      <c r="C42" s="4"/>
      <c r="D42" s="4"/>
      <c r="E42" s="4"/>
      <c r="F42" s="3"/>
      <c r="G42" s="4"/>
    </row>
    <row r="43" spans="1:7" ht="11.25" x14ac:dyDescent="0.2">
      <c r="A43" s="9" t="s">
        <v>33</v>
      </c>
      <c r="B43" s="4"/>
      <c r="C43" s="4"/>
      <c r="D43" s="4"/>
      <c r="E43" s="4"/>
      <c r="F43" s="3"/>
      <c r="G43" s="4"/>
    </row>
    <row r="44" spans="1:7" ht="11.25" x14ac:dyDescent="0.2">
      <c r="A44" s="10" t="s">
        <v>34</v>
      </c>
      <c r="B44" s="4"/>
      <c r="C44" s="4"/>
      <c r="D44" s="4"/>
      <c r="E44" s="4"/>
      <c r="F44" s="3"/>
      <c r="G44" s="4"/>
    </row>
    <row r="45" spans="1:7" ht="11.25" x14ac:dyDescent="0.2">
      <c r="A45" s="10" t="s">
        <v>35</v>
      </c>
      <c r="B45" s="4"/>
      <c r="C45" s="4"/>
      <c r="D45" s="4"/>
      <c r="E45" s="4"/>
      <c r="F45" s="3"/>
      <c r="G45" s="4"/>
    </row>
    <row r="46" spans="1:7" ht="11.25" x14ac:dyDescent="0.2">
      <c r="A46" s="8" t="s">
        <v>36</v>
      </c>
      <c r="B46" s="4">
        <f>SUM(B4:B45)</f>
        <v>9174800</v>
      </c>
      <c r="C46" s="4">
        <f t="shared" ref="C46:G46" si="0">SUM(C4:C45)</f>
        <v>25123350.399999999</v>
      </c>
      <c r="D46" s="4">
        <f t="shared" si="0"/>
        <v>0</v>
      </c>
      <c r="E46" s="4">
        <f t="shared" ref="E46" si="1">SUM(E4:E45)</f>
        <v>20100000</v>
      </c>
      <c r="F46" s="4">
        <f>SUM(F4:F45)</f>
        <v>357461433.36000001</v>
      </c>
      <c r="G46" s="4">
        <f t="shared" si="0"/>
        <v>15476150.4</v>
      </c>
    </row>
    <row r="47" spans="1:7" ht="11.25" x14ac:dyDescent="0.2">
      <c r="B47" s="5"/>
      <c r="C47" s="5"/>
    </row>
    <row r="48" spans="1:7" ht="11.25" x14ac:dyDescent="0.2">
      <c r="A48" s="12" t="s">
        <v>37</v>
      </c>
      <c r="B48" s="5">
        <f>SUM(B46:G46)</f>
        <v>427335734.15999997</v>
      </c>
      <c r="C48" s="5"/>
      <c r="D48" s="6"/>
      <c r="E48" s="6"/>
      <c r="F48" s="5"/>
      <c r="G48" s="6"/>
    </row>
    <row r="50" spans="6:6" ht="11.25" x14ac:dyDescent="0.2">
      <c r="F50" s="18"/>
    </row>
    <row r="51" spans="6:6" ht="11.25" x14ac:dyDescent="0.2">
      <c r="F51" s="6"/>
    </row>
    <row r="52" spans="6:6" ht="11.25" x14ac:dyDescent="0.2">
      <c r="F52" s="5"/>
    </row>
    <row r="55" spans="6:6" ht="11.25" x14ac:dyDescent="0.2">
      <c r="F55" s="5"/>
    </row>
  </sheetData>
  <mergeCells count="2">
    <mergeCell ref="A1:G1"/>
    <mergeCell ref="E2:G2"/>
  </mergeCells>
  <pageMargins left="0.70866141732283472" right="0.70866141732283472" top="0.74803149606299213" bottom="0.74803149606299213" header="0.31496062992125984" footer="0.31496062992125984"/>
  <pageSetup paperSize="14" scale="67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FFC6-5AE3-459B-B308-F26F316C842F}">
  <dimension ref="A1:G55"/>
  <sheetViews>
    <sheetView topLeftCell="A3" zoomScale="110" zoomScaleNormal="110" zoomScaleSheetLayoutView="85" workbookViewId="0">
      <pane xSplit="1" topLeftCell="B1" activePane="topRight" state="frozen"/>
      <selection activeCell="A3" sqref="A3"/>
      <selection pane="topRight" activeCell="B48" sqref="B48"/>
    </sheetView>
  </sheetViews>
  <sheetFormatPr defaultColWidth="9.140625" defaultRowHeight="12.75" customHeight="1" x14ac:dyDescent="0.2"/>
  <cols>
    <col min="1" max="1" width="36.7109375" style="11" customWidth="1"/>
    <col min="2" max="2" width="12.85546875" style="1" bestFit="1" customWidth="1"/>
    <col min="3" max="3" width="11.42578125" style="1" customWidth="1"/>
    <col min="4" max="4" width="12.140625" style="1" customWidth="1"/>
    <col min="5" max="5" width="13.5703125" style="1" customWidth="1"/>
    <col min="6" max="6" width="12.5703125" style="1" customWidth="1"/>
    <col min="7" max="7" width="15.140625" style="1" customWidth="1"/>
    <col min="8" max="16384" width="9.140625" style="1"/>
  </cols>
  <sheetData>
    <row r="1" spans="1:7" ht="30.75" hidden="1" customHeight="1" x14ac:dyDescent="0.2">
      <c r="A1" s="19" t="s">
        <v>0</v>
      </c>
      <c r="B1" s="19"/>
      <c r="C1" s="19"/>
      <c r="D1" s="19"/>
      <c r="E1" s="20"/>
      <c r="F1" s="20"/>
      <c r="G1" s="20"/>
    </row>
    <row r="2" spans="1:7" ht="15" hidden="1" customHeight="1" x14ac:dyDescent="0.2">
      <c r="A2" s="7"/>
      <c r="B2" s="11"/>
      <c r="C2" s="11"/>
      <c r="D2" s="11"/>
      <c r="E2" s="21"/>
      <c r="F2" s="21"/>
      <c r="G2" s="2"/>
    </row>
    <row r="3" spans="1:7" ht="46.5" customHeight="1" x14ac:dyDescent="0.2">
      <c r="A3" s="8" t="s">
        <v>1</v>
      </c>
      <c r="B3" s="14" t="s">
        <v>3</v>
      </c>
      <c r="C3" s="14" t="s">
        <v>40</v>
      </c>
      <c r="D3" s="14" t="s">
        <v>39</v>
      </c>
      <c r="E3" s="14" t="s">
        <v>38</v>
      </c>
      <c r="F3" s="13" t="s">
        <v>2</v>
      </c>
      <c r="G3" s="14" t="s">
        <v>41</v>
      </c>
    </row>
    <row r="4" spans="1:7" ht="11.25" hidden="1" x14ac:dyDescent="0.2">
      <c r="A4" s="15" t="s">
        <v>4</v>
      </c>
      <c r="B4" s="16"/>
      <c r="C4" s="16"/>
      <c r="D4" s="16"/>
      <c r="E4" s="16"/>
      <c r="F4" s="17"/>
      <c r="G4" s="16"/>
    </row>
    <row r="5" spans="1:7" ht="11.25" hidden="1" x14ac:dyDescent="0.2">
      <c r="A5" s="10" t="s">
        <v>5</v>
      </c>
      <c r="B5" s="4">
        <v>150000000</v>
      </c>
      <c r="C5" s="4"/>
      <c r="D5" s="4"/>
      <c r="E5" s="4"/>
      <c r="F5" s="3"/>
      <c r="G5" s="4"/>
    </row>
    <row r="6" spans="1:7" ht="11.25" hidden="1" x14ac:dyDescent="0.2">
      <c r="A6" s="10" t="s">
        <v>6</v>
      </c>
      <c r="B6" s="4"/>
      <c r="C6" s="4"/>
      <c r="D6" s="4"/>
      <c r="E6" s="4"/>
      <c r="F6" s="3"/>
      <c r="G6" s="4"/>
    </row>
    <row r="7" spans="1:7" ht="11.25" hidden="1" x14ac:dyDescent="0.2">
      <c r="A7" s="10" t="s">
        <v>7</v>
      </c>
      <c r="B7" s="4"/>
      <c r="C7" s="4"/>
      <c r="D7" s="4"/>
      <c r="E7" s="4"/>
      <c r="F7" s="3"/>
      <c r="G7" s="4"/>
    </row>
    <row r="8" spans="1:7" ht="11.25" hidden="1" x14ac:dyDescent="0.2">
      <c r="A8" s="10" t="s">
        <v>8</v>
      </c>
      <c r="B8" s="4"/>
      <c r="C8" s="4"/>
      <c r="D8" s="4"/>
      <c r="E8" s="4"/>
      <c r="F8" s="3"/>
      <c r="G8" s="4"/>
    </row>
    <row r="9" spans="1:7" ht="11.25" hidden="1" x14ac:dyDescent="0.2">
      <c r="A9" s="9" t="s">
        <v>9</v>
      </c>
      <c r="B9" s="4"/>
      <c r="C9" s="4"/>
      <c r="D9" s="4"/>
      <c r="E9" s="4"/>
      <c r="F9" s="3"/>
      <c r="G9" s="4"/>
    </row>
    <row r="10" spans="1:7" ht="11.25" hidden="1" x14ac:dyDescent="0.2">
      <c r="A10" s="10" t="s">
        <v>10</v>
      </c>
      <c r="B10" s="4"/>
      <c r="C10" s="4"/>
      <c r="D10" s="4"/>
      <c r="E10" s="4"/>
      <c r="F10" s="3"/>
      <c r="G10" s="4"/>
    </row>
    <row r="11" spans="1:7" ht="11.25" hidden="1" x14ac:dyDescent="0.2">
      <c r="A11" s="9" t="s">
        <v>11</v>
      </c>
      <c r="B11" s="4">
        <v>121500</v>
      </c>
      <c r="C11" s="4"/>
      <c r="D11" s="4"/>
      <c r="E11" s="4"/>
      <c r="F11" s="3">
        <v>4370800</v>
      </c>
      <c r="G11" s="4"/>
    </row>
    <row r="12" spans="1:7" ht="11.25" hidden="1" x14ac:dyDescent="0.2">
      <c r="A12" s="9" t="s">
        <v>12</v>
      </c>
      <c r="B12" s="4"/>
      <c r="C12" s="4"/>
      <c r="D12" s="4"/>
      <c r="E12" s="4"/>
      <c r="F12" s="3">
        <f>200000</f>
        <v>200000</v>
      </c>
      <c r="G12" s="4">
        <v>3750000</v>
      </c>
    </row>
    <row r="13" spans="1:7" ht="23.45" hidden="1" customHeight="1" x14ac:dyDescent="0.2">
      <c r="A13" s="9" t="s">
        <v>13</v>
      </c>
      <c r="B13" s="4"/>
      <c r="C13" s="4"/>
      <c r="D13" s="4"/>
      <c r="E13" s="4"/>
      <c r="F13" s="3"/>
      <c r="G13" s="4"/>
    </row>
    <row r="14" spans="1:7" ht="11.25" hidden="1" x14ac:dyDescent="0.2">
      <c r="A14" s="10" t="s">
        <v>5</v>
      </c>
      <c r="B14" s="4"/>
      <c r="C14" s="4"/>
      <c r="D14" s="4"/>
      <c r="E14" s="4"/>
      <c r="F14" s="3"/>
      <c r="G14" s="4"/>
    </row>
    <row r="15" spans="1:7" ht="11.25" hidden="1" x14ac:dyDescent="0.2">
      <c r="A15" s="10" t="s">
        <v>6</v>
      </c>
      <c r="B15" s="4"/>
      <c r="C15" s="4"/>
      <c r="D15" s="4"/>
      <c r="E15" s="4"/>
      <c r="F15" s="3"/>
      <c r="G15" s="4"/>
    </row>
    <row r="16" spans="1:7" ht="11.25" hidden="1" x14ac:dyDescent="0.2">
      <c r="A16" s="10" t="s">
        <v>7</v>
      </c>
      <c r="B16" s="4">
        <f>9108300</f>
        <v>9108300</v>
      </c>
      <c r="C16" s="4"/>
      <c r="D16" s="4"/>
      <c r="E16" s="4"/>
      <c r="F16" s="3"/>
      <c r="G16" s="4"/>
    </row>
    <row r="17" spans="1:7" ht="11.25" hidden="1" x14ac:dyDescent="0.2">
      <c r="A17" s="9" t="s">
        <v>14</v>
      </c>
      <c r="B17" s="4"/>
      <c r="C17" s="4"/>
      <c r="D17" s="4"/>
      <c r="E17" s="4"/>
      <c r="F17" s="3"/>
      <c r="G17" s="4"/>
    </row>
    <row r="18" spans="1:7" ht="11.25" hidden="1" x14ac:dyDescent="0.2">
      <c r="A18" s="10" t="s">
        <v>15</v>
      </c>
      <c r="B18" s="4"/>
      <c r="C18" s="4"/>
      <c r="D18" s="4"/>
      <c r="E18" s="4"/>
      <c r="F18" s="3">
        <f>180000</f>
        <v>180000</v>
      </c>
      <c r="G18" s="4"/>
    </row>
    <row r="19" spans="1:7" ht="11.25" hidden="1" x14ac:dyDescent="0.2">
      <c r="A19" s="10" t="s">
        <v>16</v>
      </c>
      <c r="B19" s="4"/>
      <c r="C19" s="4"/>
      <c r="D19" s="4"/>
      <c r="E19" s="4"/>
      <c r="F19" s="3"/>
      <c r="G19" s="4"/>
    </row>
    <row r="20" spans="1:7" ht="11.25" hidden="1" x14ac:dyDescent="0.2">
      <c r="A20" s="10" t="s">
        <v>17</v>
      </c>
      <c r="B20" s="4"/>
      <c r="C20" s="4"/>
      <c r="D20" s="4"/>
      <c r="E20" s="4"/>
      <c r="F20" s="3">
        <f>49540000</f>
        <v>49540000</v>
      </c>
      <c r="G20" s="4"/>
    </row>
    <row r="21" spans="1:7" ht="19.5" hidden="1" customHeight="1" x14ac:dyDescent="0.2">
      <c r="A21" s="10" t="s">
        <v>18</v>
      </c>
      <c r="B21" s="4"/>
      <c r="C21" s="4"/>
      <c r="D21" s="4"/>
      <c r="E21" s="4"/>
      <c r="F21" s="3"/>
      <c r="G21" s="4"/>
    </row>
    <row r="22" spans="1:7" ht="20.25" hidden="1" customHeight="1" x14ac:dyDescent="0.2">
      <c r="A22" s="9" t="s">
        <v>19</v>
      </c>
      <c r="B22" s="4"/>
      <c r="C22" s="4"/>
      <c r="D22" s="4"/>
      <c r="E22" s="4"/>
      <c r="F22" s="3"/>
      <c r="G22" s="4"/>
    </row>
    <row r="23" spans="1:7" ht="11.25" hidden="1" x14ac:dyDescent="0.2">
      <c r="A23" s="9" t="s">
        <v>20</v>
      </c>
      <c r="B23" s="4"/>
      <c r="C23" s="4">
        <f>4623350.4</f>
        <v>4623350.4000000004</v>
      </c>
      <c r="D23" s="4"/>
      <c r="E23" s="4"/>
      <c r="F23" s="3">
        <f>32735944.8</f>
        <v>32735944.800000001</v>
      </c>
      <c r="G23" s="4">
        <v>11726150.4</v>
      </c>
    </row>
    <row r="24" spans="1:7" ht="11.25" hidden="1" x14ac:dyDescent="0.2">
      <c r="A24" s="10" t="s">
        <v>21</v>
      </c>
      <c r="B24" s="4"/>
      <c r="C24" s="4"/>
      <c r="D24" s="4"/>
      <c r="E24" s="4"/>
      <c r="F24" s="3"/>
      <c r="G24" s="4"/>
    </row>
    <row r="25" spans="1:7" ht="12" hidden="1" customHeight="1" x14ac:dyDescent="0.2">
      <c r="A25" s="9" t="s">
        <v>22</v>
      </c>
      <c r="B25" s="4"/>
      <c r="C25" s="4"/>
      <c r="D25" s="4"/>
      <c r="E25" s="4"/>
      <c r="F25" s="3"/>
      <c r="G25" s="4"/>
    </row>
    <row r="26" spans="1:7" ht="13.5" hidden="1" customHeight="1" x14ac:dyDescent="0.2">
      <c r="A26" s="9" t="s">
        <v>23</v>
      </c>
      <c r="B26" s="4"/>
      <c r="C26" s="4"/>
      <c r="D26" s="4"/>
      <c r="E26" s="4"/>
      <c r="F26" s="3"/>
      <c r="G26" s="4"/>
    </row>
    <row r="27" spans="1:7" ht="11.25" x14ac:dyDescent="0.2">
      <c r="A27" s="10" t="s">
        <v>10</v>
      </c>
      <c r="B27" s="4"/>
      <c r="C27" s="4"/>
      <c r="D27" s="4"/>
      <c r="E27" s="4"/>
      <c r="F27" s="3"/>
      <c r="G27" s="4"/>
    </row>
    <row r="28" spans="1:7" ht="20.100000000000001" customHeight="1" x14ac:dyDescent="0.2">
      <c r="A28" s="9" t="s">
        <v>24</v>
      </c>
      <c r="B28" s="4"/>
      <c r="C28" s="4"/>
      <c r="D28" s="4"/>
      <c r="E28" s="4"/>
      <c r="F28" s="3"/>
      <c r="G28" s="4"/>
    </row>
    <row r="29" spans="1:7" ht="11.25" x14ac:dyDescent="0.2">
      <c r="A29" s="10" t="s">
        <v>5</v>
      </c>
      <c r="B29" s="4"/>
      <c r="C29" s="4"/>
      <c r="D29" s="4"/>
      <c r="E29" s="4"/>
      <c r="F29" s="3">
        <f>166714425</f>
        <v>166714425</v>
      </c>
      <c r="G29" s="4"/>
    </row>
    <row r="30" spans="1:7" ht="11.25" x14ac:dyDescent="0.2">
      <c r="A30" s="10" t="s">
        <v>6</v>
      </c>
      <c r="B30" s="4"/>
      <c r="C30" s="4"/>
      <c r="D30" s="4"/>
      <c r="E30" s="4"/>
      <c r="F30" s="3"/>
      <c r="G30" s="4"/>
    </row>
    <row r="31" spans="1:7" ht="11.25" x14ac:dyDescent="0.2">
      <c r="A31" s="10" t="s">
        <v>7</v>
      </c>
      <c r="B31" s="4"/>
      <c r="C31" s="4"/>
      <c r="D31" s="4"/>
      <c r="E31" s="4"/>
      <c r="F31" s="3"/>
      <c r="G31" s="4"/>
    </row>
    <row r="32" spans="1:7" ht="12" customHeight="1" x14ac:dyDescent="0.2">
      <c r="A32" s="9" t="s">
        <v>25</v>
      </c>
      <c r="B32" s="4"/>
      <c r="C32" s="4"/>
      <c r="D32" s="4"/>
      <c r="E32" s="4"/>
      <c r="F32" s="3"/>
      <c r="G32" s="4"/>
    </row>
    <row r="33" spans="1:7" ht="11.25" x14ac:dyDescent="0.2">
      <c r="A33" s="10" t="s">
        <v>26</v>
      </c>
      <c r="B33" s="4"/>
      <c r="C33" s="4"/>
      <c r="D33" s="4"/>
      <c r="E33" s="4"/>
      <c r="F33" s="3"/>
      <c r="G33" s="4"/>
    </row>
    <row r="34" spans="1:7" ht="23.25" customHeight="1" x14ac:dyDescent="0.2">
      <c r="A34" s="9" t="s">
        <v>27</v>
      </c>
      <c r="B34" s="4"/>
      <c r="C34" s="4"/>
      <c r="D34" s="4"/>
      <c r="E34" s="4"/>
      <c r="F34" s="3"/>
      <c r="G34" s="4"/>
    </row>
    <row r="35" spans="1:7" ht="11.25" x14ac:dyDescent="0.2">
      <c r="A35" s="10" t="s">
        <v>5</v>
      </c>
      <c r="B35" s="4"/>
      <c r="C35" s="4"/>
      <c r="D35" s="4"/>
      <c r="E35" s="4"/>
      <c r="F35" s="3"/>
      <c r="G35" s="4"/>
    </row>
    <row r="36" spans="1:7" ht="11.25" x14ac:dyDescent="0.2">
      <c r="A36" s="10" t="s">
        <v>6</v>
      </c>
      <c r="B36" s="4"/>
      <c r="C36" s="4"/>
      <c r="D36" s="4"/>
      <c r="E36" s="4"/>
      <c r="F36" s="3"/>
      <c r="G36" s="4"/>
    </row>
    <row r="37" spans="1:7" ht="11.25" x14ac:dyDescent="0.2">
      <c r="A37" s="10" t="s">
        <v>7</v>
      </c>
      <c r="B37" s="4"/>
      <c r="C37" s="4"/>
      <c r="D37" s="4"/>
      <c r="E37" s="4"/>
      <c r="F37" s="3"/>
      <c r="G37" s="4"/>
    </row>
    <row r="38" spans="1:7" ht="12" customHeight="1" x14ac:dyDescent="0.2">
      <c r="A38" s="9" t="s">
        <v>28</v>
      </c>
      <c r="B38" s="4"/>
      <c r="C38" s="4"/>
      <c r="D38" s="4"/>
      <c r="E38" s="4"/>
      <c r="F38" s="3"/>
      <c r="G38" s="4"/>
    </row>
    <row r="39" spans="1:7" ht="11.25" x14ac:dyDescent="0.2">
      <c r="A39" s="9" t="s">
        <v>29</v>
      </c>
      <c r="B39" s="4"/>
      <c r="C39" s="4"/>
      <c r="D39" s="4"/>
      <c r="E39" s="4"/>
      <c r="F39" s="3"/>
      <c r="G39" s="4"/>
    </row>
    <row r="40" spans="1:7" ht="11.25" x14ac:dyDescent="0.2">
      <c r="A40" s="10" t="s">
        <v>30</v>
      </c>
      <c r="B40" s="4"/>
      <c r="C40" s="4"/>
      <c r="D40" s="4"/>
      <c r="E40" s="4"/>
      <c r="F40" s="3">
        <f>122456314+958320+1650000</f>
        <v>125064634</v>
      </c>
      <c r="G40" s="4"/>
    </row>
    <row r="41" spans="1:7" ht="11.25" x14ac:dyDescent="0.2">
      <c r="A41" s="10" t="s">
        <v>31</v>
      </c>
      <c r="B41" s="4"/>
      <c r="C41" s="4"/>
      <c r="D41" s="4"/>
      <c r="E41" s="4"/>
      <c r="F41" s="3"/>
      <c r="G41" s="4"/>
    </row>
    <row r="42" spans="1:7" ht="11.25" x14ac:dyDescent="0.2">
      <c r="A42" s="10" t="s">
        <v>32</v>
      </c>
      <c r="B42" s="4"/>
      <c r="C42" s="4"/>
      <c r="D42" s="4"/>
      <c r="E42" s="4"/>
      <c r="F42" s="3"/>
      <c r="G42" s="4"/>
    </row>
    <row r="43" spans="1:7" ht="11.25" x14ac:dyDescent="0.2">
      <c r="A43" s="9" t="s">
        <v>33</v>
      </c>
      <c r="B43" s="4"/>
      <c r="C43" s="4"/>
      <c r="D43" s="4"/>
      <c r="E43" s="4"/>
      <c r="F43" s="3"/>
      <c r="G43" s="4"/>
    </row>
    <row r="44" spans="1:7" ht="11.25" x14ac:dyDescent="0.2">
      <c r="A44" s="10" t="s">
        <v>34</v>
      </c>
      <c r="B44" s="4"/>
      <c r="C44" s="4"/>
      <c r="D44" s="4"/>
      <c r="E44" s="4"/>
      <c r="F44" s="3"/>
      <c r="G44" s="4"/>
    </row>
    <row r="45" spans="1:7" ht="11.25" x14ac:dyDescent="0.2">
      <c r="A45" s="10" t="s">
        <v>35</v>
      </c>
      <c r="B45" s="4"/>
      <c r="C45" s="4"/>
      <c r="D45" s="4"/>
      <c r="E45" s="4"/>
      <c r="F45" s="3"/>
      <c r="G45" s="4"/>
    </row>
    <row r="46" spans="1:7" ht="11.25" x14ac:dyDescent="0.2">
      <c r="A46" s="8" t="s">
        <v>36</v>
      </c>
      <c r="B46" s="4">
        <f>SUM(B4:B45)</f>
        <v>159229800</v>
      </c>
      <c r="C46" s="4">
        <f>SUM(C4:C45)</f>
        <v>4623350.4000000004</v>
      </c>
      <c r="D46" s="4">
        <f t="shared" ref="D46:G46" si="0">SUM(D4:D45)</f>
        <v>0</v>
      </c>
      <c r="E46" s="4">
        <f t="shared" ref="E46" si="1">SUM(E4:E45)</f>
        <v>0</v>
      </c>
      <c r="F46" s="4">
        <f>SUM(F4:F45)</f>
        <v>378805803.80000001</v>
      </c>
      <c r="G46" s="4">
        <f t="shared" si="0"/>
        <v>15476150.4</v>
      </c>
    </row>
    <row r="47" spans="1:7" ht="11.25" x14ac:dyDescent="0.2">
      <c r="B47" s="5"/>
      <c r="C47" s="5"/>
    </row>
    <row r="48" spans="1:7" ht="11.25" x14ac:dyDescent="0.2">
      <c r="A48" s="12" t="s">
        <v>37</v>
      </c>
      <c r="B48" s="5">
        <f>SUM(B46:G46)</f>
        <v>558135104.60000002</v>
      </c>
      <c r="C48" s="5"/>
      <c r="D48" s="6"/>
      <c r="E48" s="6"/>
      <c r="F48" s="5"/>
      <c r="G48" s="6"/>
    </row>
    <row r="50" spans="6:6" ht="11.25" x14ac:dyDescent="0.2">
      <c r="F50" s="18"/>
    </row>
    <row r="51" spans="6:6" ht="11.25" x14ac:dyDescent="0.2">
      <c r="F51" s="6"/>
    </row>
    <row r="52" spans="6:6" ht="11.25" x14ac:dyDescent="0.2">
      <c r="F52" s="5"/>
    </row>
    <row r="55" spans="6:6" ht="11.25" x14ac:dyDescent="0.2">
      <c r="F55" s="5"/>
    </row>
  </sheetData>
  <mergeCells count="2">
    <mergeCell ref="A1:G1"/>
    <mergeCell ref="E2:F2"/>
  </mergeCells>
  <pageMargins left="0.70866141732283472" right="0.70866141732283472" top="0.74803149606299213" bottom="0.74803149606299213" header="0.31496062992125984" footer="0.31496062992125984"/>
  <pageSetup paperSize="14" scale="67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2bef9f2-49fe-4927-a5eb-9835d983282f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C24D9AA47B3C4FBD23BE2A529C6F4F" ma:contentTypeVersion="13" ma:contentTypeDescription="Create a new document." ma:contentTypeScope="" ma:versionID="5e5f5d8228f72a8aab38457beadcd01a">
  <xsd:schema xmlns:xsd="http://www.w3.org/2001/XMLSchema" xmlns:xs="http://www.w3.org/2001/XMLSchema" xmlns:p="http://schemas.microsoft.com/office/2006/metadata/properties" xmlns:ns2="b2bef9f2-49fe-4927-a5eb-9835d983282f" targetNamespace="http://schemas.microsoft.com/office/2006/metadata/properties" ma:root="true" ma:fieldsID="8577f1824720b9efbd0255681f9ca7da" ns2:_="">
    <xsd:import namespace="b2bef9f2-49fe-4927-a5eb-9835d9832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bef9f2-49fe-4927-a5eb-9835d98328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F81AF1-D545-4398-A962-A20170E2E520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b2bef9f2-49fe-4927-a5eb-9835d983282f"/>
  </ds:schemaRefs>
</ds:datastoreItem>
</file>

<file path=customXml/itemProps2.xml><?xml version="1.0" encoding="utf-8"?>
<ds:datastoreItem xmlns:ds="http://schemas.openxmlformats.org/officeDocument/2006/customXml" ds:itemID="{C123DE1E-FFC0-49E7-BE29-93F86E497885}"/>
</file>

<file path=customXml/itemProps3.xml><?xml version="1.0" encoding="utf-8"?>
<ds:datastoreItem xmlns:ds="http://schemas.openxmlformats.org/officeDocument/2006/customXml" ds:itemID="{A3ECB44E-B1CC-4F37-95A6-A967CA0F6FB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2027</vt:lpstr>
      <vt:lpstr>2028</vt:lpstr>
      <vt:lpstr>2029</vt:lpstr>
      <vt:lpstr>'2027'!Print_Titles</vt:lpstr>
      <vt:lpstr>'2028'!Print_Titles</vt:lpstr>
      <vt:lpstr>'2029'!Print_Titles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Paul S. Mackay</dc:creator>
  <cp:keywords/>
  <dc:description/>
  <cp:lastModifiedBy>Lance Jay P. Cadungog</cp:lastModifiedBy>
  <cp:revision/>
  <dcterms:created xsi:type="dcterms:W3CDTF">2023-04-27T06:53:20Z</dcterms:created>
  <dcterms:modified xsi:type="dcterms:W3CDTF">2025-12-02T07:32:56Z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0x0101008FC24D9AA47B3C4FBD23BE2A529C6F4F</vt:lpwstr>
  </property>
  <property fmtid="{D5CDD505-2E9C-101B-9397-08002B2CF9AE}" pid="3" name="MediaServiceImageTags">
    <vt:lpwstr/>
  </property>
  <property fmtid="{D5CDD505-2E9C-101B-9397-08002B2CF9AE}" pid="4" name="WorkbookGuid">
    <vt:lpwstr>4a1f0f6c-4868-49c4-bf77-6804eaf14018</vt:lpwstr>
  </property>
</Properties>
</file>